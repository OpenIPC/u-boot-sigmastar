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checkCompatibility="1" defaultThemeVersion="124226"/>
  <mc:AlternateContent xmlns:mc="http://schemas.openxmlformats.org/markup-compatibility/2006">
    <mc:Choice Requires="x15">
      <x15ac:absPath xmlns:x15ac="http://schemas.microsoft.com/office/spreadsheetml/2010/11/ac" url="P:\VGA\I7\sw script\"/>
    </mc:Choice>
  </mc:AlternateContent>
  <bookViews>
    <workbookView xWindow="0" yWindow="0" windowWidth="28800" windowHeight="12390" tabRatio="914" activeTab="2"/>
  </bookViews>
  <sheets>
    <sheet name="Main" sheetId="1" r:id="rId1"/>
    <sheet name="NTSC" sheetId="60" r:id="rId2"/>
    <sheet name="PAL" sheetId="72" r:id="rId3"/>
    <sheet name="EndOfSheet" sheetId="3" r:id="rId4"/>
    <sheet name="IP_Type" sheetId="5" r:id="rId5"/>
    <sheet name="TimingSupport" sheetId="42" r:id="rId6"/>
  </sheets>
  <functionGroups builtInGroupCount="18"/>
  <calcPr calcId="152511"/>
</workbook>
</file>

<file path=xl/calcChain.xml><?xml version="1.0" encoding="utf-8"?>
<calcChain xmlns="http://schemas.openxmlformats.org/spreadsheetml/2006/main">
  <c r="K94" i="72" l="1"/>
  <c r="J94" i="72" s="1"/>
  <c r="I94" i="72" s="1"/>
  <c r="O85" i="72" l="1"/>
  <c r="O82" i="72"/>
  <c r="K98" i="60" l="1"/>
  <c r="J99" i="60" s="1"/>
  <c r="K96" i="60"/>
  <c r="J96" i="60" s="1"/>
  <c r="K94" i="60"/>
  <c r="J94" i="60" s="1"/>
  <c r="K92" i="60"/>
  <c r="J92" i="60" s="1"/>
  <c r="K90" i="60"/>
  <c r="J91" i="60" s="1"/>
  <c r="I91" i="60" s="1"/>
  <c r="J89" i="60"/>
  <c r="I89" i="60" s="1"/>
  <c r="J88" i="60"/>
  <c r="I88" i="60" s="1"/>
  <c r="K86" i="60"/>
  <c r="J86" i="60" s="1"/>
  <c r="O85" i="60"/>
  <c r="J85" i="60"/>
  <c r="J109" i="60" s="1"/>
  <c r="I109" i="60" s="1"/>
  <c r="J84" i="60"/>
  <c r="J108" i="60" s="1"/>
  <c r="I108" i="60" s="1"/>
  <c r="O82" i="60"/>
  <c r="K82" i="60"/>
  <c r="J83" i="60" s="1"/>
  <c r="I83" i="60" s="1"/>
  <c r="K80" i="60"/>
  <c r="J80" i="60" s="1"/>
  <c r="I80" i="60" s="1"/>
  <c r="K98" i="72"/>
  <c r="J99" i="72" s="1"/>
  <c r="K96" i="72"/>
  <c r="J96" i="72" s="1"/>
  <c r="K92" i="72"/>
  <c r="J92" i="72" s="1"/>
  <c r="K90" i="72"/>
  <c r="J91" i="72" s="1"/>
  <c r="I91" i="72" s="1"/>
  <c r="J89" i="72"/>
  <c r="I89" i="72" s="1"/>
  <c r="J88" i="72"/>
  <c r="I88" i="72" s="1"/>
  <c r="K86" i="72"/>
  <c r="J86" i="72" s="1"/>
  <c r="J85" i="72"/>
  <c r="J109" i="72" s="1"/>
  <c r="I109" i="72" s="1"/>
  <c r="J84" i="72"/>
  <c r="J108" i="72" s="1"/>
  <c r="I108" i="72" s="1"/>
  <c r="K82" i="72"/>
  <c r="J83" i="72" s="1"/>
  <c r="I83" i="72" s="1"/>
  <c r="K80" i="72"/>
  <c r="J80" i="72" s="1"/>
  <c r="I80" i="72" s="1"/>
  <c r="J98" i="60" l="1"/>
  <c r="I98" i="60" s="1"/>
  <c r="J82" i="60"/>
  <c r="I82" i="60" s="1"/>
  <c r="J90" i="72"/>
  <c r="I90" i="72" s="1"/>
  <c r="I84" i="72"/>
  <c r="I84" i="60"/>
  <c r="J90" i="60"/>
  <c r="I90" i="60" s="1"/>
  <c r="J114" i="60"/>
  <c r="I114" i="60" s="1"/>
  <c r="J102" i="60"/>
  <c r="I102" i="60" s="1"/>
  <c r="I94" i="60"/>
  <c r="J112" i="60"/>
  <c r="I112" i="60" s="1"/>
  <c r="I92" i="60"/>
  <c r="J95" i="72"/>
  <c r="J115" i="72" s="1"/>
  <c r="I115" i="72" s="1"/>
  <c r="J93" i="60"/>
  <c r="J113" i="60" s="1"/>
  <c r="I113" i="60" s="1"/>
  <c r="J95" i="60"/>
  <c r="J103" i="60" s="1"/>
  <c r="I103" i="60" s="1"/>
  <c r="J82" i="72"/>
  <c r="I82" i="72" s="1"/>
  <c r="J119" i="60"/>
  <c r="I119" i="60" s="1"/>
  <c r="J107" i="60"/>
  <c r="I107" i="60" s="1"/>
  <c r="I99" i="60"/>
  <c r="J110" i="60"/>
  <c r="I110" i="60" s="1"/>
  <c r="I86" i="60"/>
  <c r="J116" i="60"/>
  <c r="I116" i="60" s="1"/>
  <c r="I96" i="60"/>
  <c r="J104" i="60"/>
  <c r="I104" i="60" s="1"/>
  <c r="J106" i="60"/>
  <c r="I106" i="60" s="1"/>
  <c r="J118" i="60"/>
  <c r="I118" i="60" s="1"/>
  <c r="J81" i="60"/>
  <c r="I81" i="60" s="1"/>
  <c r="J87" i="60"/>
  <c r="J97" i="60"/>
  <c r="J100" i="60"/>
  <c r="I100" i="60" s="1"/>
  <c r="I85" i="60"/>
  <c r="J98" i="72"/>
  <c r="I98" i="72" s="1"/>
  <c r="J112" i="72"/>
  <c r="I112" i="72" s="1"/>
  <c r="I92" i="72"/>
  <c r="J93" i="72"/>
  <c r="J113" i="72" s="1"/>
  <c r="I113" i="72" s="1"/>
  <c r="I86" i="72"/>
  <c r="J110" i="72"/>
  <c r="I110" i="72" s="1"/>
  <c r="I96" i="72"/>
  <c r="J116" i="72"/>
  <c r="I116" i="72" s="1"/>
  <c r="J104" i="72"/>
  <c r="I104" i="72" s="1"/>
  <c r="J114" i="72"/>
  <c r="I114" i="72" s="1"/>
  <c r="J102" i="72"/>
  <c r="I102" i="72" s="1"/>
  <c r="J119" i="72"/>
  <c r="I119" i="72" s="1"/>
  <c r="J107" i="72"/>
  <c r="I107" i="72" s="1"/>
  <c r="I99" i="72"/>
  <c r="J100" i="72"/>
  <c r="I100" i="72" s="1"/>
  <c r="J81" i="72"/>
  <c r="I81" i="72" s="1"/>
  <c r="J97" i="72"/>
  <c r="J87" i="72"/>
  <c r="I85" i="72"/>
  <c r="J103" i="72" l="1"/>
  <c r="I103" i="72" s="1"/>
  <c r="I95" i="72"/>
  <c r="J118" i="72"/>
  <c r="I118" i="72" s="1"/>
  <c r="J101" i="60"/>
  <c r="I101" i="60" s="1"/>
  <c r="J115" i="60"/>
  <c r="I115" i="60" s="1"/>
  <c r="I95" i="60"/>
  <c r="J106" i="72"/>
  <c r="I106" i="72" s="1"/>
  <c r="I93" i="60"/>
  <c r="J111" i="60"/>
  <c r="I111" i="60" s="1"/>
  <c r="I87" i="60"/>
  <c r="J117" i="60"/>
  <c r="I117" i="60" s="1"/>
  <c r="J105" i="60"/>
  <c r="I105" i="60" s="1"/>
  <c r="I97" i="60"/>
  <c r="J101" i="72"/>
  <c r="I101" i="72" s="1"/>
  <c r="I93" i="72"/>
  <c r="J111" i="72"/>
  <c r="I111" i="72" s="1"/>
  <c r="I87" i="72"/>
  <c r="J117" i="72"/>
  <c r="I117" i="72" s="1"/>
  <c r="J105" i="72"/>
  <c r="I105" i="72" s="1"/>
  <c r="I97" i="72"/>
</calcChain>
</file>

<file path=xl/sharedStrings.xml><?xml version="1.0" encoding="utf-8"?>
<sst xmlns="http://schemas.openxmlformats.org/spreadsheetml/2006/main" count="1640" uniqueCount="220">
  <si>
    <t>Register_End</t>
    <phoneticPr fontId="2" type="noConversion"/>
  </si>
  <si>
    <t>N</t>
    <phoneticPr fontId="2" type="noConversion"/>
  </si>
  <si>
    <t>N/A</t>
    <phoneticPr fontId="2" type="noConversion"/>
  </si>
  <si>
    <t>Sub-Bank</t>
    <phoneticPr fontId="2" type="noConversion"/>
  </si>
  <si>
    <t>Base</t>
    <phoneticPr fontId="2" type="noConversion"/>
  </si>
  <si>
    <t>Register_Name</t>
    <phoneticPr fontId="2" type="noConversion"/>
  </si>
  <si>
    <t>ChipVersion</t>
    <phoneticPr fontId="2" type="noConversion"/>
  </si>
  <si>
    <t>Excel CodeGen Version:</t>
    <phoneticPr fontId="2" type="noConversion"/>
  </si>
  <si>
    <t>1.01</t>
    <phoneticPr fontId="2" type="noConversion"/>
  </si>
  <si>
    <t>Excel SW Version:</t>
    <phoneticPr fontId="2" type="noConversion"/>
  </si>
  <si>
    <t>Sub IP</t>
    <phoneticPr fontId="2" type="noConversion"/>
  </si>
  <si>
    <t>Reg Name</t>
    <phoneticPr fontId="2" type="noConversion"/>
  </si>
  <si>
    <t>Description</t>
    <phoneticPr fontId="2" type="noConversion"/>
  </si>
  <si>
    <t>RegName</t>
    <phoneticPr fontId="2" type="noConversion"/>
  </si>
  <si>
    <t>Bank</t>
    <phoneticPr fontId="2" type="noConversion"/>
  </si>
  <si>
    <t>Address</t>
  </si>
  <si>
    <t>Byte</t>
    <phoneticPr fontId="2" type="noConversion"/>
  </si>
  <si>
    <t>Mask</t>
    <phoneticPr fontId="2" type="noConversion"/>
  </si>
  <si>
    <t>Panel_End</t>
    <phoneticPr fontId="2" type="noConversion"/>
  </si>
  <si>
    <t>CaseGen Ver.</t>
    <phoneticPr fontId="2" type="noConversion"/>
  </si>
  <si>
    <t>MapGen Ver.</t>
    <phoneticPr fontId="2" type="noConversion"/>
  </si>
  <si>
    <t>1.05</t>
    <phoneticPr fontId="2" type="noConversion"/>
  </si>
  <si>
    <t>IP_Name</t>
    <phoneticPr fontId="2" type="noConversion"/>
  </si>
  <si>
    <t>FileName</t>
    <phoneticPr fontId="2" type="noConversion"/>
  </si>
  <si>
    <t>NORMAL</t>
    <phoneticPr fontId="2" type="noConversion"/>
  </si>
  <si>
    <t>FullHeader</t>
    <phoneticPr fontId="2" type="noConversion"/>
  </si>
  <si>
    <t>Pre_ENUM</t>
    <phoneticPr fontId="2" type="noConversion"/>
  </si>
  <si>
    <t>TYPE</t>
    <phoneticPr fontId="2" type="noConversion"/>
  </si>
  <si>
    <t>Group</t>
    <phoneticPr fontId="2" type="noConversion"/>
  </si>
  <si>
    <t>ALL</t>
    <phoneticPr fontId="2" type="noConversion"/>
  </si>
  <si>
    <t>Timing Type</t>
    <phoneticPr fontId="2" type="noConversion"/>
  </si>
  <si>
    <t>Support (Y/N)</t>
    <phoneticPr fontId="2" type="noConversion"/>
  </si>
  <si>
    <t>Y</t>
    <phoneticPr fontId="2" type="noConversion"/>
  </si>
  <si>
    <t>I2</t>
    <phoneticPr fontId="2" type="noConversion"/>
  </si>
  <si>
    <t>0xFF</t>
  </si>
  <si>
    <t>Y</t>
    <phoneticPr fontId="2" type="noConversion"/>
  </si>
  <si>
    <t>-</t>
  </si>
  <si>
    <t>L</t>
  </si>
  <si>
    <t>0x00</t>
    <phoneticPr fontId="2" type="noConversion"/>
  </si>
  <si>
    <t>H</t>
    <phoneticPr fontId="2" type="noConversion"/>
  </si>
  <si>
    <t>DAC_ATOP</t>
    <phoneticPr fontId="2" type="noConversion"/>
  </si>
  <si>
    <t>0x16</t>
    <phoneticPr fontId="2" type="noConversion"/>
  </si>
  <si>
    <t>0x20</t>
    <phoneticPr fontId="2" type="noConversion"/>
  </si>
  <si>
    <t>0x14</t>
    <phoneticPr fontId="2" type="noConversion"/>
  </si>
  <si>
    <t>0x24</t>
    <phoneticPr fontId="2" type="noConversion"/>
  </si>
  <si>
    <t>0x10</t>
    <phoneticPr fontId="2" type="noConversion"/>
  </si>
  <si>
    <t>0x11</t>
    <phoneticPr fontId="2" type="noConversion"/>
  </si>
  <si>
    <t>0x13</t>
    <phoneticPr fontId="2" type="noConversion"/>
  </si>
  <si>
    <t>0x12</t>
    <phoneticPr fontId="2" type="noConversion"/>
  </si>
  <si>
    <t>0x15</t>
    <phoneticPr fontId="2" type="noConversion"/>
  </si>
  <si>
    <t>0x18</t>
    <phoneticPr fontId="2" type="noConversion"/>
  </si>
  <si>
    <t>0x19</t>
    <phoneticPr fontId="2" type="noConversion"/>
  </si>
  <si>
    <t>13 bit</t>
    <phoneticPr fontId="2" type="noConversion"/>
  </si>
  <si>
    <t>hs start</t>
    <phoneticPr fontId="2" type="noConversion"/>
  </si>
  <si>
    <t>h total</t>
    <phoneticPr fontId="2" type="noConversion"/>
  </si>
  <si>
    <t>v total</t>
    <phoneticPr fontId="2" type="noConversion"/>
  </si>
  <si>
    <t>hs end</t>
    <phoneticPr fontId="2" type="noConversion"/>
  </si>
  <si>
    <t>vs start</t>
    <phoneticPr fontId="2" type="noConversion"/>
  </si>
  <si>
    <t>vs end</t>
    <phoneticPr fontId="2" type="noConversion"/>
  </si>
  <si>
    <t>hfde start</t>
    <phoneticPr fontId="2" type="noConversion"/>
  </si>
  <si>
    <t>hfde end</t>
    <phoneticPr fontId="2" type="noConversion"/>
  </si>
  <si>
    <t>vfde start</t>
    <phoneticPr fontId="2" type="noConversion"/>
  </si>
  <si>
    <t>vfde end</t>
    <phoneticPr fontId="2" type="noConversion"/>
  </si>
  <si>
    <t>0x07</t>
    <phoneticPr fontId="2" type="noConversion"/>
  </si>
  <si>
    <t>0x29</t>
    <phoneticPr fontId="2" type="noConversion"/>
  </si>
  <si>
    <t>DAC_ATOP</t>
  </si>
  <si>
    <t>idac atop (common)</t>
    <phoneticPr fontId="2" type="noConversion"/>
  </si>
  <si>
    <t>0x17</t>
    <phoneticPr fontId="2" type="noConversion"/>
  </si>
  <si>
    <t>0x18</t>
    <phoneticPr fontId="2" type="noConversion"/>
  </si>
  <si>
    <t>w0 hde start</t>
    <phoneticPr fontId="2" type="noConversion"/>
  </si>
  <si>
    <t>w0 hde end</t>
    <phoneticPr fontId="2" type="noConversion"/>
  </si>
  <si>
    <t>w0 vde start</t>
    <phoneticPr fontId="2" type="noConversion"/>
  </si>
  <si>
    <t>w0 vde end</t>
    <phoneticPr fontId="2" type="noConversion"/>
  </si>
  <si>
    <t>dac hs start</t>
    <phoneticPr fontId="2" type="noConversion"/>
  </si>
  <si>
    <t>dac hs end</t>
    <phoneticPr fontId="2" type="noConversion"/>
  </si>
  <si>
    <t>0x23</t>
    <phoneticPr fontId="2" type="noConversion"/>
  </si>
  <si>
    <t>dac hfde start</t>
    <phoneticPr fontId="2" type="noConversion"/>
  </si>
  <si>
    <t>dac hfde end</t>
    <phoneticPr fontId="2" type="noConversion"/>
  </si>
  <si>
    <t>dac vfde start</t>
    <phoneticPr fontId="2" type="noConversion"/>
  </si>
  <si>
    <t>dac vfde end</t>
    <phoneticPr fontId="2" type="noConversion"/>
  </si>
  <si>
    <t>0x27</t>
    <phoneticPr fontId="2" type="noConversion"/>
  </si>
  <si>
    <t>0x28</t>
    <phoneticPr fontId="2" type="noConversion"/>
  </si>
  <si>
    <t>0x29</t>
    <phoneticPr fontId="2" type="noConversion"/>
  </si>
  <si>
    <t>reset</t>
    <phoneticPr fontId="2" type="noConversion"/>
  </si>
  <si>
    <t>trun off reset</t>
    <phoneticPr fontId="2" type="noConversion"/>
  </si>
  <si>
    <t>0x145B</t>
    <phoneticPr fontId="2" type="noConversion"/>
  </si>
  <si>
    <t>0x1150</t>
    <phoneticPr fontId="2" type="noConversion"/>
  </si>
  <si>
    <t>0x1137</t>
    <phoneticPr fontId="2" type="noConversion"/>
  </si>
  <si>
    <t>0x1038</t>
    <phoneticPr fontId="2" type="noConversion"/>
  </si>
  <si>
    <t>H</t>
    <phoneticPr fontId="2" type="noConversion"/>
  </si>
  <si>
    <t>DISP_TOP0</t>
    <phoneticPr fontId="2" type="noConversion"/>
  </si>
  <si>
    <t>DISP_TOP_OP20</t>
  </si>
  <si>
    <t>DISP_TOP_OP20</t>
    <phoneticPr fontId="2" type="noConversion"/>
  </si>
  <si>
    <t>op2 (pat gen)</t>
  </si>
  <si>
    <t>op2 (pat gen)</t>
    <phoneticPr fontId="2" type="noConversion"/>
  </si>
  <si>
    <t>[0] dac src select</t>
    <phoneticPr fontId="2" type="noConversion"/>
  </si>
  <si>
    <t>fpll delay setting</t>
    <phoneticPr fontId="2" type="noConversion"/>
  </si>
  <si>
    <t>0xd0</t>
    <phoneticPr fontId="2" type="noConversion"/>
  </si>
  <si>
    <t>0x50</t>
    <phoneticPr fontId="2" type="noConversion"/>
  </si>
  <si>
    <t>0x20</t>
    <phoneticPr fontId="2" type="noConversion"/>
  </si>
  <si>
    <t>SCALER_TGEN</t>
    <phoneticPr fontId="2" type="noConversion"/>
  </si>
  <si>
    <t>SCALER_TGEN</t>
    <phoneticPr fontId="2" type="noConversion"/>
  </si>
  <si>
    <t>Sync</t>
    <phoneticPr fontId="2" type="noConversion"/>
  </si>
  <si>
    <t>BackPorch</t>
    <phoneticPr fontId="2" type="noConversion"/>
  </si>
  <si>
    <t>Active</t>
    <phoneticPr fontId="2" type="noConversion"/>
  </si>
  <si>
    <t>FrontPorch</t>
    <phoneticPr fontId="2" type="noConversion"/>
  </si>
  <si>
    <t>Total</t>
    <phoneticPr fontId="2" type="noConversion"/>
  </si>
  <si>
    <t>V</t>
    <phoneticPr fontId="2" type="noConversion"/>
  </si>
  <si>
    <t>FPS</t>
    <phoneticPr fontId="2" type="noConversion"/>
  </si>
  <si>
    <t>DISP_TOP_OP20</t>
    <phoneticPr fontId="2" type="noConversion"/>
  </si>
  <si>
    <t>0x1151</t>
    <phoneticPr fontId="2" type="noConversion"/>
  </si>
  <si>
    <t>NORMAL</t>
    <phoneticPr fontId="2" type="noConversion"/>
  </si>
  <si>
    <t>0x2A</t>
    <phoneticPr fontId="2" type="noConversion"/>
  </si>
  <si>
    <t>0x1F</t>
    <phoneticPr fontId="2" type="noConversion"/>
  </si>
  <si>
    <t>0x1E</t>
    <phoneticPr fontId="2" type="noConversion"/>
  </si>
  <si>
    <t>0x1D</t>
    <phoneticPr fontId="2" type="noConversion"/>
  </si>
  <si>
    <t>0x1A</t>
    <phoneticPr fontId="2" type="noConversion"/>
  </si>
  <si>
    <t>CLK_GEN</t>
    <phoneticPr fontId="2" type="noConversion"/>
  </si>
  <si>
    <t>DISP_GPCTRL</t>
    <phoneticPr fontId="2" type="noConversion"/>
  </si>
  <si>
    <t>DISP_TOP1</t>
    <phoneticPr fontId="2" type="noConversion"/>
  </si>
  <si>
    <t>0x1160</t>
    <phoneticPr fontId="2" type="noConversion"/>
  </si>
  <si>
    <t>NTSC</t>
    <phoneticPr fontId="2" type="noConversion"/>
  </si>
  <si>
    <t>PAL</t>
    <phoneticPr fontId="2" type="noConversion"/>
  </si>
  <si>
    <t>0x14</t>
  </si>
  <si>
    <t>0x15</t>
  </si>
  <si>
    <t>0x16</t>
  </si>
  <si>
    <t>0x1F</t>
  </si>
  <si>
    <t>0x00</t>
  </si>
  <si>
    <t>0x36</t>
  </si>
  <si>
    <t>0x1D</t>
  </si>
  <si>
    <t>0x29</t>
  </si>
  <si>
    <t>0x48</t>
  </si>
  <si>
    <t>0x49</t>
  </si>
  <si>
    <t>0x40</t>
  </si>
  <si>
    <t>0x41</t>
  </si>
  <si>
    <t>0x6F</t>
  </si>
  <si>
    <t>0x08</t>
  </si>
  <si>
    <t>0x01</t>
  </si>
  <si>
    <t>0x03</t>
  </si>
  <si>
    <t>0x81</t>
  </si>
  <si>
    <t>0x04</t>
  </si>
  <si>
    <t>0x58</t>
  </si>
  <si>
    <t>H</t>
  </si>
  <si>
    <t>TVENC</t>
    <phoneticPr fontId="2" type="noConversion"/>
  </si>
  <si>
    <t>N/A</t>
    <phoneticPr fontId="2" type="noConversion"/>
  </si>
  <si>
    <t>0x1157</t>
    <phoneticPr fontId="2" type="noConversion"/>
  </si>
  <si>
    <t>TVENC</t>
    <phoneticPr fontId="2" type="noConversion"/>
  </si>
  <si>
    <t>0x11</t>
  </si>
  <si>
    <t>0x12</t>
  </si>
  <si>
    <t>0x23</t>
  </si>
  <si>
    <t>0x24</t>
  </si>
  <si>
    <t>0x27</t>
  </si>
  <si>
    <t>0x28</t>
  </si>
  <si>
    <t>0x2A</t>
  </si>
  <si>
    <t>0x3C</t>
  </si>
  <si>
    <t>0x52</t>
  </si>
  <si>
    <t>0x53</t>
  </si>
  <si>
    <t>0x56</t>
  </si>
  <si>
    <t>0x57</t>
  </si>
  <si>
    <t>0x59</t>
  </si>
  <si>
    <t>0x5A</t>
  </si>
  <si>
    <t>0x5B</t>
  </si>
  <si>
    <t>0x5C</t>
  </si>
  <si>
    <t>0x5D</t>
  </si>
  <si>
    <t>0x6E</t>
  </si>
  <si>
    <t>0x66</t>
  </si>
  <si>
    <t>0x0C</t>
  </si>
  <si>
    <t>0x02</t>
  </si>
  <si>
    <t>0x2C</t>
  </si>
  <si>
    <t>0x89</t>
  </si>
  <si>
    <t>0x8A</t>
  </si>
  <si>
    <t>0x2D</t>
  </si>
  <si>
    <t>0xA4</t>
  </si>
  <si>
    <t>0x06</t>
  </si>
  <si>
    <t>0x60</t>
  </si>
  <si>
    <t>0x80</t>
  </si>
  <si>
    <t>0xC3</t>
  </si>
  <si>
    <t>0x5F</t>
  </si>
  <si>
    <t>0x70</t>
  </si>
  <si>
    <t>0x30</t>
  </si>
  <si>
    <t>0x8F</t>
  </si>
  <si>
    <t>0x90</t>
  </si>
  <si>
    <t>0x31</t>
  </si>
  <si>
    <t>0xA0</t>
  </si>
  <si>
    <t>0x45</t>
  </si>
  <si>
    <t>0x62</t>
  </si>
  <si>
    <t>0x10</t>
  </si>
  <si>
    <t>0xE3</t>
  </si>
  <si>
    <t>DISP_PLL</t>
    <phoneticPr fontId="2" type="noConversion"/>
  </si>
  <si>
    <t>DISP_PLL</t>
    <phoneticPr fontId="2" type="noConversion"/>
  </si>
  <si>
    <t>0x1037</t>
    <phoneticPr fontId="2" type="noConversion"/>
  </si>
  <si>
    <t>SKIP</t>
    <phoneticPr fontId="2" type="noConversion"/>
  </si>
  <si>
    <t>hal_disp_cvbs_timing_tbl</t>
    <phoneticPr fontId="2" type="noConversion"/>
  </si>
  <si>
    <t>HAL_DISP_CVBS</t>
    <phoneticPr fontId="2" type="noConversion"/>
  </si>
  <si>
    <t>Sync</t>
    <phoneticPr fontId="2" type="noConversion"/>
  </si>
  <si>
    <t>Active</t>
    <phoneticPr fontId="2" type="noConversion"/>
  </si>
  <si>
    <t>V</t>
    <phoneticPr fontId="2" type="noConversion"/>
  </si>
  <si>
    <t>Sync</t>
    <phoneticPr fontId="2" type="noConversion"/>
  </si>
  <si>
    <t>FrontPorch</t>
    <phoneticPr fontId="2" type="noConversion"/>
  </si>
  <si>
    <t>FPS</t>
    <phoneticPr fontId="2" type="noConversion"/>
  </si>
  <si>
    <t>CVBS_IDAC</t>
    <phoneticPr fontId="2" type="noConversion"/>
  </si>
  <si>
    <t>CVBS_IDAC</t>
    <phoneticPr fontId="2" type="noConversion"/>
  </si>
  <si>
    <t>CVBS_PLL</t>
    <phoneticPr fontId="2" type="noConversion"/>
  </si>
  <si>
    <t>CVBS_PLL</t>
    <phoneticPr fontId="2" type="noConversion"/>
  </si>
  <si>
    <t>CVBS_TVENC</t>
    <phoneticPr fontId="2" type="noConversion"/>
  </si>
  <si>
    <t>CVBS_IDAC</t>
    <phoneticPr fontId="2" type="noConversion"/>
  </si>
  <si>
    <t>CVBS_TVENC</t>
    <phoneticPr fontId="2" type="noConversion"/>
  </si>
  <si>
    <t>CVBS_TVENC</t>
    <phoneticPr fontId="2" type="noConversion"/>
  </si>
  <si>
    <t>0x08</t>
    <phoneticPr fontId="2" type="noConversion"/>
  </si>
  <si>
    <t>0x08</t>
    <phoneticPr fontId="2" type="noConversion"/>
  </si>
  <si>
    <t>0xF0</t>
    <phoneticPr fontId="2" type="noConversion"/>
  </si>
  <si>
    <t>0xF0</t>
    <phoneticPr fontId="2" type="noConversion"/>
  </si>
  <si>
    <t>0x66</t>
    <phoneticPr fontId="2" type="noConversion"/>
  </si>
  <si>
    <t>0x66</t>
    <phoneticPr fontId="2" type="noConversion"/>
  </si>
  <si>
    <t>0x26</t>
    <phoneticPr fontId="2" type="noConversion"/>
  </si>
  <si>
    <t>0x2a</t>
    <phoneticPr fontId="2" type="noConversion"/>
  </si>
  <si>
    <t>0x50</t>
    <phoneticPr fontId="2" type="noConversion"/>
  </si>
  <si>
    <t>0x50</t>
    <phoneticPr fontId="2" type="noConversion"/>
  </si>
  <si>
    <t>0x10</t>
    <phoneticPr fontId="2" type="noConversion"/>
  </si>
  <si>
    <t>0x00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</si>
</sst>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4"/>
      <name val="Arial Unicode MS"/>
      <family val="2"/>
      <charset val="128"/>
    </font>
    <font>
      <b/>
      <sz val="14"/>
      <name val="Arial Unicode MS"/>
      <family val="2"/>
      <charset val="128"/>
    </font>
    <font>
      <b/>
      <sz val="12"/>
      <name val="新細明體"/>
      <family val="1"/>
      <charset val="136"/>
    </font>
    <font>
      <b/>
      <sz val="22"/>
      <name val="Arial Narrow"/>
      <family val="2"/>
    </font>
    <font>
      <b/>
      <sz val="16"/>
      <name val="Arial Narrow"/>
      <family val="2"/>
    </font>
    <font>
      <sz val="12"/>
      <name val="Arial Narrow"/>
      <family val="2"/>
    </font>
    <font>
      <u/>
      <sz val="12"/>
      <color indexed="12"/>
      <name val="新細明體"/>
      <family val="1"/>
      <charset val="136"/>
    </font>
    <font>
      <b/>
      <i/>
      <u/>
      <sz val="12"/>
      <color indexed="13"/>
      <name val="Arial Narrow"/>
      <family val="2"/>
    </font>
    <font>
      <b/>
      <i/>
      <sz val="12"/>
      <name val="Arial Narrow"/>
      <family val="2"/>
    </font>
    <font>
      <b/>
      <sz val="12"/>
      <name val="Arial Narrow"/>
      <family val="2"/>
    </font>
    <font>
      <sz val="10"/>
      <name val="Arial"/>
      <family val="2"/>
    </font>
    <font>
      <b/>
      <sz val="22"/>
      <name val="新細明體"/>
      <family val="1"/>
      <charset val="136"/>
    </font>
    <font>
      <b/>
      <sz val="12"/>
      <name val="新細明體"/>
      <family val="1"/>
      <charset val="136"/>
      <scheme val="major"/>
    </font>
    <font>
      <sz val="12"/>
      <name val="新細明體"/>
      <family val="1"/>
      <charset val="136"/>
      <scheme val="minor"/>
    </font>
    <font>
      <sz val="14"/>
      <name val="新細明體"/>
      <family val="1"/>
      <charset val="136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top"/>
      <protection locked="0"/>
    </xf>
  </cellStyleXfs>
  <cellXfs count="81">
    <xf numFmtId="0" fontId="0" fillId="0" borderId="0" xfId="0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3" fillId="0" borderId="0" xfId="0" applyFont="1" applyBorder="1">
      <alignment vertical="center"/>
    </xf>
    <xf numFmtId="0" fontId="4" fillId="0" borderId="0" xfId="0" applyFont="1" applyBorder="1" applyAlignment="1">
      <alignment horizontal="left" vertical="center"/>
    </xf>
    <xf numFmtId="0" fontId="4" fillId="0" borderId="0" xfId="0" applyFont="1" applyBorder="1">
      <alignment vertical="center"/>
    </xf>
    <xf numFmtId="0" fontId="3" fillId="0" borderId="0" xfId="0" applyFont="1" applyFill="1" applyBorder="1" applyAlignment="1">
      <alignment horizontal="left" vertical="center"/>
    </xf>
    <xf numFmtId="0" fontId="1" fillId="0" borderId="0" xfId="0" applyFont="1" applyFill="1" applyBorder="1">
      <alignment vertical="center"/>
    </xf>
    <xf numFmtId="0" fontId="1" fillId="0" borderId="0" xfId="0" applyFont="1" applyBorder="1">
      <alignment vertical="center"/>
    </xf>
    <xf numFmtId="0" fontId="5" fillId="9" borderId="0" xfId="0" applyFont="1" applyFill="1">
      <alignment vertical="center"/>
    </xf>
    <xf numFmtId="49" fontId="5" fillId="0" borderId="0" xfId="0" applyNumberFormat="1" applyFont="1" applyAlignment="1">
      <alignment horizontal="center"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11" fillId="2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49" fontId="12" fillId="3" borderId="1" xfId="0" applyNumberFormat="1" applyFont="1" applyFill="1" applyBorder="1" applyAlignment="1">
      <alignment horizontal="center" vertical="center" wrapText="1"/>
    </xf>
    <xf numFmtId="0" fontId="12" fillId="4" borderId="1" xfId="0" applyFont="1" applyFill="1" applyBorder="1" applyAlignment="1">
      <alignment horizontal="center" vertical="center"/>
    </xf>
    <xf numFmtId="49" fontId="12" fillId="4" borderId="1" xfId="0" applyNumberFormat="1" applyFont="1" applyFill="1" applyBorder="1" applyAlignment="1">
      <alignment horizontal="center" vertical="center" wrapText="1"/>
    </xf>
    <xf numFmtId="0" fontId="12" fillId="5" borderId="1" xfId="0" applyFont="1" applyFill="1" applyBorder="1" applyAlignment="1">
      <alignment horizontal="center" vertical="center"/>
    </xf>
    <xf numFmtId="0" fontId="12" fillId="6" borderId="1" xfId="0" applyFont="1" applyFill="1" applyBorder="1" applyAlignment="1">
      <alignment horizontal="center" vertical="center"/>
    </xf>
    <xf numFmtId="0" fontId="0" fillId="0" borderId="0" xfId="0" applyFill="1">
      <alignment vertical="center"/>
    </xf>
    <xf numFmtId="0" fontId="8" fillId="0" borderId="1" xfId="0" applyFont="1" applyFill="1" applyBorder="1" applyAlignment="1">
      <alignment horizontal="center" vertical="center"/>
    </xf>
    <xf numFmtId="0" fontId="12" fillId="7" borderId="1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12" fillId="0" borderId="1" xfId="0" applyNumberFormat="1" applyFont="1" applyFill="1" applyBorder="1" applyAlignment="1" applyProtection="1">
      <alignment horizontal="center" vertical="center"/>
    </xf>
    <xf numFmtId="0" fontId="12" fillId="8" borderId="1" xfId="0" applyFont="1" applyFill="1" applyBorder="1" applyAlignment="1">
      <alignment horizontal="center" vertical="center"/>
    </xf>
    <xf numFmtId="22" fontId="12" fillId="0" borderId="0" xfId="0" applyNumberFormat="1" applyFont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7" fillId="9" borderId="1" xfId="0" applyFont="1" applyFill="1" applyBorder="1" applyAlignment="1">
      <alignment horizontal="center" vertical="center"/>
    </xf>
    <xf numFmtId="0" fontId="7" fillId="10" borderId="1" xfId="0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8" fillId="0" borderId="1" xfId="0" applyFont="1" applyFill="1" applyBorder="1">
      <alignment vertical="center"/>
    </xf>
    <xf numFmtId="0" fontId="13" fillId="0" borderId="1" xfId="0" applyFont="1" applyFill="1" applyBorder="1">
      <alignment vertical="center"/>
    </xf>
    <xf numFmtId="0" fontId="5" fillId="9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5" fillId="9" borderId="1" xfId="0" applyFont="1" applyFill="1" applyBorder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7" fillId="0" borderId="1" xfId="0" applyFont="1" applyFill="1" applyBorder="1" applyAlignment="1">
      <alignment horizontal="left" vertical="center"/>
    </xf>
    <xf numFmtId="0" fontId="0" fillId="0" borderId="0" xfId="0" applyFont="1" applyFill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7" fillId="11" borderId="1" xfId="0" applyFont="1" applyFill="1" applyBorder="1" applyAlignment="1">
      <alignment horizontal="left" vertical="center"/>
    </xf>
    <xf numFmtId="0" fontId="7" fillId="11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 shrinkToFit="1"/>
    </xf>
    <xf numFmtId="0" fontId="0" fillId="0" borderId="0" xfId="0" applyFill="1" applyAlignment="1">
      <alignment vertical="center" shrinkToFit="1"/>
    </xf>
    <xf numFmtId="0" fontId="0" fillId="0" borderId="0" xfId="0" applyAlignment="1">
      <alignment vertical="center" shrinkToFit="1"/>
    </xf>
    <xf numFmtId="0" fontId="10" fillId="0" borderId="2" xfId="1" applyFont="1" applyFill="1" applyBorder="1" applyAlignment="1" applyProtection="1">
      <alignment horizontal="center" vertical="center"/>
    </xf>
    <xf numFmtId="0" fontId="10" fillId="0" borderId="3" xfId="1" applyFont="1" applyFill="1" applyBorder="1" applyAlignment="1" applyProtection="1">
      <alignment horizontal="center" vertical="center"/>
    </xf>
    <xf numFmtId="0" fontId="8" fillId="0" borderId="3" xfId="0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0" fontId="0" fillId="0" borderId="2" xfId="0" applyFill="1" applyBorder="1">
      <alignment vertical="center"/>
    </xf>
    <xf numFmtId="0" fontId="0" fillId="0" borderId="3" xfId="0" applyFill="1" applyBorder="1" applyAlignment="1">
      <alignment vertical="center" shrinkToFit="1"/>
    </xf>
    <xf numFmtId="0" fontId="0" fillId="0" borderId="3" xfId="0" applyFill="1" applyBorder="1">
      <alignment vertical="center"/>
    </xf>
    <xf numFmtId="0" fontId="0" fillId="0" borderId="3" xfId="0" applyFill="1" applyBorder="1" applyAlignment="1">
      <alignment horizontal="center" vertical="center"/>
    </xf>
    <xf numFmtId="0" fontId="0" fillId="0" borderId="4" xfId="0" applyFont="1" applyFill="1" applyBorder="1" applyAlignment="1">
      <alignment horizontal="center" vertical="center"/>
    </xf>
    <xf numFmtId="0" fontId="13" fillId="0" borderId="1" xfId="0" applyFont="1" applyFill="1" applyBorder="1" applyAlignment="1">
      <alignment vertical="center" wrapText="1"/>
    </xf>
    <xf numFmtId="0" fontId="8" fillId="0" borderId="5" xfId="0" applyFont="1" applyFill="1" applyBorder="1">
      <alignment vertical="center"/>
    </xf>
    <xf numFmtId="0" fontId="13" fillId="0" borderId="5" xfId="0" applyFont="1" applyFill="1" applyBorder="1" applyAlignment="1">
      <alignment vertical="center" wrapText="1"/>
    </xf>
    <xf numFmtId="0" fontId="13" fillId="0" borderId="5" xfId="0" applyFont="1" applyFill="1" applyBorder="1">
      <alignment vertical="center"/>
    </xf>
    <xf numFmtId="0" fontId="8" fillId="0" borderId="5" xfId="0" applyFont="1" applyFill="1" applyBorder="1" applyAlignment="1">
      <alignment horizontal="center" vertical="center"/>
    </xf>
    <xf numFmtId="0" fontId="12" fillId="7" borderId="5" xfId="0" applyNumberFormat="1" applyFont="1" applyFill="1" applyBorder="1" applyAlignment="1" applyProtection="1">
      <alignment horizontal="center" vertical="center"/>
    </xf>
    <xf numFmtId="0" fontId="13" fillId="0" borderId="6" xfId="0" applyFont="1" applyFill="1" applyBorder="1">
      <alignment vertical="center"/>
    </xf>
    <xf numFmtId="0" fontId="8" fillId="0" borderId="6" xfId="0" applyFont="1" applyFill="1" applyBorder="1" applyAlignment="1">
      <alignment horizontal="center" vertical="center"/>
    </xf>
    <xf numFmtId="0" fontId="8" fillId="0" borderId="0" xfId="0" applyFont="1" applyFill="1" applyBorder="1">
      <alignment vertical="center"/>
    </xf>
    <xf numFmtId="0" fontId="13" fillId="0" borderId="0" xfId="0" applyFont="1" applyFill="1" applyBorder="1" applyAlignment="1">
      <alignment vertical="center" wrapText="1"/>
    </xf>
    <xf numFmtId="0" fontId="13" fillId="0" borderId="0" xfId="0" applyFont="1" applyFill="1" applyBorder="1">
      <alignment vertical="center"/>
    </xf>
    <xf numFmtId="0" fontId="8" fillId="0" borderId="0" xfId="0" applyFont="1" applyFill="1" applyBorder="1" applyAlignment="1">
      <alignment horizontal="center" vertical="center"/>
    </xf>
    <xf numFmtId="0" fontId="12" fillId="0" borderId="0" xfId="0" applyNumberFormat="1" applyFont="1" applyFill="1" applyBorder="1" applyAlignment="1" applyProtection="1">
      <alignment horizontal="center" vertical="center"/>
    </xf>
    <xf numFmtId="0" fontId="0" fillId="0" borderId="0" xfId="0" applyFill="1" applyBorder="1">
      <alignment vertical="center"/>
    </xf>
    <xf numFmtId="0" fontId="0" fillId="0" borderId="0" xfId="0" applyFill="1" applyBorder="1" applyAlignment="1">
      <alignment horizontal="left" vertical="center"/>
    </xf>
    <xf numFmtId="0" fontId="12" fillId="0" borderId="6" xfId="0" applyNumberFormat="1" applyFont="1" applyFill="1" applyBorder="1" applyAlignment="1" applyProtection="1">
      <alignment horizontal="center" vertical="center"/>
    </xf>
    <xf numFmtId="0" fontId="0" fillId="12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12" fillId="11" borderId="1" xfId="0" applyNumberFormat="1" applyFont="1" applyFill="1" applyBorder="1" applyAlignment="1" applyProtection="1">
      <alignment horizontal="center" vertical="center"/>
    </xf>
    <xf numFmtId="0" fontId="12" fillId="11" borderId="5" xfId="0" applyNumberFormat="1" applyFont="1" applyFill="1" applyBorder="1" applyAlignment="1" applyProtection="1">
      <alignment horizontal="center" vertical="center"/>
    </xf>
    <xf numFmtId="0" fontId="12" fillId="12" borderId="1" xfId="0" applyNumberFormat="1" applyFont="1" applyFill="1" applyBorder="1" applyAlignment="1" applyProtection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6" fillId="0" borderId="1" xfId="0" applyFont="1" applyFill="1" applyBorder="1" applyAlignment="1">
      <alignment vertical="center"/>
    </xf>
    <xf numFmtId="0" fontId="0" fillId="9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14" fillId="0" borderId="3" xfId="0" applyFont="1" applyFill="1" applyBorder="1" applyAlignment="1">
      <alignment horizontal="left" vertical="center"/>
    </xf>
  </cellXfs>
  <cellStyles count="2">
    <cellStyle name="一般" xfId="0" builtinId="0"/>
    <cellStyle name="超連結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0</xdr:row>
          <xdr:rowOff>28575</xdr:rowOff>
        </xdr:from>
        <xdr:to>
          <xdr:col>1</xdr:col>
          <xdr:colOff>1400175</xdr:colOff>
          <xdr:row>0</xdr:row>
          <xdr:rowOff>419100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P12"/>
  <sheetViews>
    <sheetView zoomScale="80" workbookViewId="0">
      <selection activeCell="G24" sqref="G24"/>
    </sheetView>
  </sheetViews>
  <sheetFormatPr defaultRowHeight="16.5" x14ac:dyDescent="0.25"/>
  <cols>
    <col min="1" max="1" width="30.375" customWidth="1"/>
    <col min="2" max="2" width="20" customWidth="1"/>
    <col min="3" max="3" width="12.75" customWidth="1"/>
    <col min="8" max="8" width="2.125" customWidth="1"/>
    <col min="10" max="10" width="15.375" customWidth="1"/>
    <col min="13" max="13" width="13.75" bestFit="1" customWidth="1"/>
    <col min="15" max="15" width="18.75" bestFit="1" customWidth="1"/>
    <col min="16" max="16" width="22.25" bestFit="1" customWidth="1"/>
    <col min="17" max="17" width="15.25" bestFit="1" customWidth="1"/>
    <col min="18" max="18" width="11.5" bestFit="1" customWidth="1"/>
  </cols>
  <sheetData>
    <row r="1" spans="1:16" ht="35.25" customHeight="1" x14ac:dyDescent="0.25">
      <c r="A1" s="12" t="s">
        <v>33</v>
      </c>
      <c r="B1" s="11"/>
      <c r="E1" s="76" t="s">
        <v>9</v>
      </c>
      <c r="F1" s="76"/>
      <c r="G1" s="10" t="s">
        <v>8</v>
      </c>
      <c r="I1" s="76" t="s">
        <v>7</v>
      </c>
      <c r="J1" s="76"/>
      <c r="K1" s="10" t="s">
        <v>21</v>
      </c>
      <c r="M1" s="9" t="s">
        <v>6</v>
      </c>
      <c r="O1" s="33" t="s">
        <v>23</v>
      </c>
      <c r="P1" s="34" t="s">
        <v>192</v>
      </c>
    </row>
    <row r="2" spans="1:16" x14ac:dyDescent="0.25">
      <c r="A2" s="8"/>
      <c r="B2" s="8"/>
      <c r="C2" s="8"/>
      <c r="D2" s="7"/>
      <c r="O2" s="33" t="s">
        <v>25</v>
      </c>
      <c r="P2" s="34" t="s">
        <v>35</v>
      </c>
    </row>
    <row r="3" spans="1:16" s="1" customFormat="1" ht="20.25" x14ac:dyDescent="0.25">
      <c r="A3" s="2" t="s">
        <v>5</v>
      </c>
      <c r="B3" s="2" t="s">
        <v>4</v>
      </c>
      <c r="C3" s="2" t="s">
        <v>3</v>
      </c>
      <c r="O3" s="36" t="s">
        <v>26</v>
      </c>
      <c r="P3" s="35" t="s">
        <v>193</v>
      </c>
    </row>
    <row r="4" spans="1:16" s="1" customFormat="1" ht="20.25" x14ac:dyDescent="0.25">
      <c r="A4" s="6" t="s">
        <v>40</v>
      </c>
      <c r="B4" s="5" t="s">
        <v>85</v>
      </c>
      <c r="C4" s="4" t="s">
        <v>2</v>
      </c>
      <c r="D4" s="3" t="s">
        <v>1</v>
      </c>
    </row>
    <row r="5" spans="1:16" s="1" customFormat="1" ht="20.25" x14ac:dyDescent="0.25">
      <c r="A5" s="6" t="s">
        <v>90</v>
      </c>
      <c r="B5" s="5" t="s">
        <v>86</v>
      </c>
      <c r="C5" s="4" t="s">
        <v>2</v>
      </c>
      <c r="D5" s="3" t="s">
        <v>1</v>
      </c>
    </row>
    <row r="6" spans="1:16" s="1" customFormat="1" ht="20.25" x14ac:dyDescent="0.25">
      <c r="A6" s="6" t="s">
        <v>119</v>
      </c>
      <c r="B6" s="5" t="s">
        <v>120</v>
      </c>
      <c r="C6" s="4" t="s">
        <v>2</v>
      </c>
      <c r="D6" s="3" t="s">
        <v>1</v>
      </c>
    </row>
    <row r="7" spans="1:16" s="1" customFormat="1" ht="20.25" x14ac:dyDescent="0.25">
      <c r="A7" s="6" t="s">
        <v>118</v>
      </c>
      <c r="B7" s="5" t="s">
        <v>87</v>
      </c>
      <c r="C7" s="4" t="s">
        <v>2</v>
      </c>
      <c r="D7" s="3" t="s">
        <v>1</v>
      </c>
    </row>
    <row r="8" spans="1:16" s="1" customFormat="1" ht="20.25" x14ac:dyDescent="0.25">
      <c r="A8" s="6" t="s">
        <v>117</v>
      </c>
      <c r="B8" s="5" t="s">
        <v>88</v>
      </c>
      <c r="C8" s="4" t="s">
        <v>2</v>
      </c>
      <c r="D8" s="3" t="s">
        <v>1</v>
      </c>
    </row>
    <row r="9" spans="1:16" s="1" customFormat="1" ht="20.25" x14ac:dyDescent="0.25">
      <c r="A9" s="6" t="s">
        <v>109</v>
      </c>
      <c r="B9" s="5" t="s">
        <v>110</v>
      </c>
      <c r="C9" s="4" t="s">
        <v>2</v>
      </c>
      <c r="D9" s="3" t="s">
        <v>1</v>
      </c>
    </row>
    <row r="10" spans="1:16" s="1" customFormat="1" ht="20.25" x14ac:dyDescent="0.25">
      <c r="A10" s="6" t="s">
        <v>189</v>
      </c>
      <c r="B10" s="5" t="s">
        <v>190</v>
      </c>
      <c r="C10" s="4" t="s">
        <v>2</v>
      </c>
      <c r="D10" s="3" t="s">
        <v>1</v>
      </c>
    </row>
    <row r="11" spans="1:16" s="1" customFormat="1" ht="20.25" x14ac:dyDescent="0.25">
      <c r="A11" s="6" t="s">
        <v>143</v>
      </c>
      <c r="B11" s="5" t="s">
        <v>145</v>
      </c>
      <c r="C11" s="4" t="s">
        <v>144</v>
      </c>
      <c r="D11" s="3" t="s">
        <v>1</v>
      </c>
    </row>
    <row r="12" spans="1:16" s="1" customFormat="1" ht="20.25" x14ac:dyDescent="0.25">
      <c r="A12" s="2" t="s">
        <v>0</v>
      </c>
    </row>
  </sheetData>
  <mergeCells count="2">
    <mergeCell ref="E1:F1"/>
    <mergeCell ref="I1:J1"/>
  </mergeCells>
  <phoneticPr fontId="2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</xdr:col>
                <xdr:colOff>85725</xdr:colOff>
                <xdr:row>0</xdr:row>
                <xdr:rowOff>28575</xdr:rowOff>
              </from>
              <to>
                <xdr:col>1</xdr:col>
                <xdr:colOff>1400175</xdr:colOff>
                <xdr:row>0</xdr:row>
                <xdr:rowOff>419100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FFFF00"/>
  </sheetPr>
  <dimension ref="A1:U125"/>
  <sheetViews>
    <sheetView topLeftCell="A9" zoomScale="115" zoomScaleNormal="115" workbookViewId="0">
      <selection activeCell="A15" sqref="A15:XFD21"/>
    </sheetView>
  </sheetViews>
  <sheetFormatPr defaultRowHeight="16.5" x14ac:dyDescent="0.25"/>
  <cols>
    <col min="1" max="1" width="24.125" customWidth="1"/>
    <col min="2" max="2" width="30.75" style="45" customWidth="1"/>
    <col min="3" max="3" width="24.625" customWidth="1"/>
    <col min="4" max="4" width="13.625" bestFit="1" customWidth="1"/>
    <col min="6" max="8" width="9" style="23"/>
    <col min="9" max="9" width="10.75" style="40" customWidth="1"/>
    <col min="10" max="10" width="5.25" style="37" customWidth="1"/>
    <col min="11" max="11" width="7.25" style="37" customWidth="1"/>
    <col min="12" max="12" width="8.25" style="37" customWidth="1"/>
    <col min="13" max="21" width="9" style="20"/>
  </cols>
  <sheetData>
    <row r="1" spans="1:12" ht="27" x14ac:dyDescent="0.25">
      <c r="A1" s="77" t="s">
        <v>201</v>
      </c>
      <c r="B1" s="77"/>
      <c r="C1" s="77"/>
      <c r="D1" s="46"/>
      <c r="E1" s="47"/>
      <c r="F1" s="48"/>
      <c r="G1" s="48"/>
      <c r="H1" s="49"/>
      <c r="I1" s="13" t="s">
        <v>28</v>
      </c>
    </row>
    <row r="2" spans="1:12" x14ac:dyDescent="0.25">
      <c r="A2" s="14" t="s">
        <v>10</v>
      </c>
      <c r="B2" s="43" t="s">
        <v>11</v>
      </c>
      <c r="C2" s="15" t="s">
        <v>12</v>
      </c>
      <c r="D2" s="16" t="s">
        <v>13</v>
      </c>
      <c r="E2" s="17" t="s">
        <v>14</v>
      </c>
      <c r="F2" s="16" t="s">
        <v>15</v>
      </c>
      <c r="G2" s="16" t="s">
        <v>16</v>
      </c>
      <c r="H2" s="18" t="s">
        <v>17</v>
      </c>
      <c r="I2" s="19" t="s">
        <v>29</v>
      </c>
    </row>
    <row r="3" spans="1:12" s="20" customFormat="1" x14ac:dyDescent="0.25">
      <c r="A3" s="31" t="s">
        <v>66</v>
      </c>
      <c r="B3" s="55"/>
      <c r="C3" s="32"/>
      <c r="D3" s="21" t="s">
        <v>65</v>
      </c>
      <c r="E3" s="21" t="s">
        <v>36</v>
      </c>
      <c r="F3" s="21" t="s">
        <v>123</v>
      </c>
      <c r="G3" s="22" t="s">
        <v>37</v>
      </c>
      <c r="H3" s="21" t="s">
        <v>209</v>
      </c>
      <c r="I3" s="21" t="s">
        <v>136</v>
      </c>
      <c r="K3" s="37"/>
      <c r="L3" s="37"/>
    </row>
    <row r="4" spans="1:12" s="20" customFormat="1" x14ac:dyDescent="0.25">
      <c r="A4" s="31" t="s">
        <v>66</v>
      </c>
      <c r="B4" s="55"/>
      <c r="C4" s="32"/>
      <c r="D4" s="21" t="s">
        <v>65</v>
      </c>
      <c r="E4" s="21" t="s">
        <v>36</v>
      </c>
      <c r="F4" s="21" t="s">
        <v>124</v>
      </c>
      <c r="G4" s="22" t="s">
        <v>37</v>
      </c>
      <c r="H4" s="21" t="s">
        <v>209</v>
      </c>
      <c r="I4" s="21" t="s">
        <v>136</v>
      </c>
      <c r="K4" s="37"/>
      <c r="L4" s="37"/>
    </row>
    <row r="5" spans="1:12" s="20" customFormat="1" x14ac:dyDescent="0.25">
      <c r="A5" s="56" t="s">
        <v>66</v>
      </c>
      <c r="B5" s="57"/>
      <c r="C5" s="58"/>
      <c r="D5" s="59" t="s">
        <v>65</v>
      </c>
      <c r="E5" s="59" t="s">
        <v>36</v>
      </c>
      <c r="F5" s="59" t="s">
        <v>125</v>
      </c>
      <c r="G5" s="60" t="s">
        <v>37</v>
      </c>
      <c r="H5" s="59" t="s">
        <v>34</v>
      </c>
      <c r="I5" s="59" t="s">
        <v>137</v>
      </c>
      <c r="K5" s="37"/>
      <c r="L5" s="37"/>
    </row>
    <row r="6" spans="1:12" s="20" customFormat="1" x14ac:dyDescent="0.25">
      <c r="A6" s="31" t="s">
        <v>66</v>
      </c>
      <c r="B6" s="55"/>
      <c r="C6" s="32"/>
      <c r="D6" s="21" t="s">
        <v>65</v>
      </c>
      <c r="E6" s="21" t="s">
        <v>36</v>
      </c>
      <c r="F6" s="21" t="s">
        <v>126</v>
      </c>
      <c r="G6" s="22" t="s">
        <v>37</v>
      </c>
      <c r="H6" s="21" t="s">
        <v>34</v>
      </c>
      <c r="I6" s="21" t="s">
        <v>127</v>
      </c>
      <c r="K6" s="37"/>
      <c r="L6" s="37"/>
    </row>
    <row r="7" spans="1:12" s="20" customFormat="1" x14ac:dyDescent="0.25">
      <c r="A7" s="31" t="s">
        <v>66</v>
      </c>
      <c r="B7" s="55"/>
      <c r="C7" s="32"/>
      <c r="D7" s="21" t="s">
        <v>65</v>
      </c>
      <c r="E7" s="21" t="s">
        <v>36</v>
      </c>
      <c r="F7" s="21" t="s">
        <v>127</v>
      </c>
      <c r="G7" s="22" t="s">
        <v>37</v>
      </c>
      <c r="H7" s="21" t="s">
        <v>210</v>
      </c>
      <c r="I7" s="21" t="s">
        <v>127</v>
      </c>
      <c r="K7" s="37"/>
      <c r="L7" s="37"/>
    </row>
    <row r="8" spans="1:12" s="20" customFormat="1" x14ac:dyDescent="0.25">
      <c r="A8" s="31" t="s">
        <v>66</v>
      </c>
      <c r="B8" s="55"/>
      <c r="C8" s="55"/>
      <c r="D8" s="21" t="s">
        <v>65</v>
      </c>
      <c r="E8" s="21" t="s">
        <v>36</v>
      </c>
      <c r="F8" s="21" t="s">
        <v>128</v>
      </c>
      <c r="G8" s="22" t="s">
        <v>37</v>
      </c>
      <c r="H8" s="21" t="s">
        <v>34</v>
      </c>
      <c r="I8" s="21" t="s">
        <v>127</v>
      </c>
      <c r="K8" s="37"/>
      <c r="L8" s="37"/>
    </row>
    <row r="9" spans="1:12" s="20" customFormat="1" x14ac:dyDescent="0.25">
      <c r="A9" s="31" t="s">
        <v>66</v>
      </c>
      <c r="B9" s="55"/>
      <c r="C9" s="32"/>
      <c r="D9" s="21" t="s">
        <v>65</v>
      </c>
      <c r="E9" s="21" t="s">
        <v>36</v>
      </c>
      <c r="F9" s="21" t="s">
        <v>129</v>
      </c>
      <c r="G9" s="22" t="s">
        <v>37</v>
      </c>
      <c r="H9" s="21" t="s">
        <v>34</v>
      </c>
      <c r="I9" s="21" t="s">
        <v>137</v>
      </c>
      <c r="K9" s="37"/>
      <c r="L9" s="37"/>
    </row>
    <row r="10" spans="1:12" s="20" customFormat="1" x14ac:dyDescent="0.25">
      <c r="A10" s="31" t="s">
        <v>66</v>
      </c>
      <c r="B10" s="55"/>
      <c r="C10" s="32"/>
      <c r="D10" s="21" t="s">
        <v>65</v>
      </c>
      <c r="E10" s="21" t="s">
        <v>36</v>
      </c>
      <c r="F10" s="21" t="s">
        <v>130</v>
      </c>
      <c r="G10" s="22" t="s">
        <v>37</v>
      </c>
      <c r="H10" s="21" t="s">
        <v>34</v>
      </c>
      <c r="I10" s="21" t="s">
        <v>138</v>
      </c>
      <c r="K10" s="37"/>
      <c r="L10" s="37"/>
    </row>
    <row r="13" spans="1:12" ht="27" x14ac:dyDescent="0.25">
      <c r="A13" s="77" t="s">
        <v>203</v>
      </c>
      <c r="B13" s="77"/>
      <c r="C13" s="77"/>
      <c r="D13" s="46"/>
      <c r="E13" s="47"/>
      <c r="F13" s="48"/>
      <c r="G13" s="48"/>
      <c r="H13" s="49"/>
      <c r="I13" s="13" t="s">
        <v>28</v>
      </c>
    </row>
    <row r="14" spans="1:12" x14ac:dyDescent="0.25">
      <c r="A14" s="14" t="s">
        <v>10</v>
      </c>
      <c r="B14" s="43" t="s">
        <v>11</v>
      </c>
      <c r="C14" s="15" t="s">
        <v>12</v>
      </c>
      <c r="D14" s="16" t="s">
        <v>13</v>
      </c>
      <c r="E14" s="17" t="s">
        <v>14</v>
      </c>
      <c r="F14" s="16" t="s">
        <v>15</v>
      </c>
      <c r="G14" s="16" t="s">
        <v>16</v>
      </c>
      <c r="H14" s="18" t="s">
        <v>17</v>
      </c>
      <c r="I14" s="19" t="s">
        <v>29</v>
      </c>
    </row>
    <row r="15" spans="1:12" s="20" customFormat="1" x14ac:dyDescent="0.25">
      <c r="A15" s="31"/>
      <c r="B15" s="55"/>
      <c r="C15" s="32"/>
      <c r="D15" s="21" t="s">
        <v>188</v>
      </c>
      <c r="E15" s="21" t="s">
        <v>36</v>
      </c>
      <c r="F15" s="21" t="s">
        <v>131</v>
      </c>
      <c r="G15" s="22" t="s">
        <v>37</v>
      </c>
      <c r="H15" s="21" t="s">
        <v>34</v>
      </c>
      <c r="I15" s="21" t="s">
        <v>212</v>
      </c>
      <c r="K15" s="37"/>
      <c r="L15" s="37"/>
    </row>
    <row r="16" spans="1:12" s="20" customFormat="1" x14ac:dyDescent="0.25">
      <c r="A16" s="56"/>
      <c r="B16" s="55"/>
      <c r="C16" s="32"/>
      <c r="D16" s="21" t="s">
        <v>188</v>
      </c>
      <c r="E16" s="59" t="s">
        <v>36</v>
      </c>
      <c r="F16" s="21" t="s">
        <v>131</v>
      </c>
      <c r="G16" s="74" t="s">
        <v>142</v>
      </c>
      <c r="H16" s="59" t="s">
        <v>34</v>
      </c>
      <c r="I16" s="21" t="s">
        <v>213</v>
      </c>
      <c r="K16" s="37"/>
      <c r="L16" s="37"/>
    </row>
    <row r="17" spans="1:12" s="20" customFormat="1" x14ac:dyDescent="0.25">
      <c r="A17" s="31"/>
      <c r="B17" s="55"/>
      <c r="C17" s="32"/>
      <c r="D17" s="21" t="s">
        <v>188</v>
      </c>
      <c r="E17" s="21" t="s">
        <v>36</v>
      </c>
      <c r="F17" s="21" t="s">
        <v>132</v>
      </c>
      <c r="G17" s="22" t="s">
        <v>37</v>
      </c>
      <c r="H17" s="21" t="s">
        <v>34</v>
      </c>
      <c r="I17" s="21" t="s">
        <v>214</v>
      </c>
      <c r="K17" s="37"/>
      <c r="L17" s="37"/>
    </row>
    <row r="18" spans="1:12" s="20" customFormat="1" x14ac:dyDescent="0.25">
      <c r="A18" s="31"/>
      <c r="B18" s="55"/>
      <c r="C18" s="32"/>
      <c r="D18" s="21" t="s">
        <v>188</v>
      </c>
      <c r="E18" s="21" t="s">
        <v>36</v>
      </c>
      <c r="F18" s="21" t="s">
        <v>133</v>
      </c>
      <c r="G18" s="22" t="s">
        <v>37</v>
      </c>
      <c r="H18" s="21" t="s">
        <v>34</v>
      </c>
      <c r="I18" s="21" t="s">
        <v>139</v>
      </c>
      <c r="K18" s="37"/>
      <c r="L18" s="37"/>
    </row>
    <row r="19" spans="1:12" s="20" customFormat="1" x14ac:dyDescent="0.25">
      <c r="A19" s="31"/>
      <c r="B19" s="55"/>
      <c r="C19" s="32"/>
      <c r="D19" s="21" t="s">
        <v>188</v>
      </c>
      <c r="E19" s="21" t="s">
        <v>36</v>
      </c>
      <c r="F19" s="21" t="s">
        <v>133</v>
      </c>
      <c r="G19" s="73" t="s">
        <v>142</v>
      </c>
      <c r="H19" s="21" t="s">
        <v>34</v>
      </c>
      <c r="I19" s="21" t="s">
        <v>215</v>
      </c>
      <c r="K19" s="37"/>
      <c r="L19" s="37"/>
    </row>
    <row r="20" spans="1:12" s="20" customFormat="1" x14ac:dyDescent="0.25">
      <c r="A20" s="31"/>
      <c r="B20" s="55"/>
      <c r="C20" s="32"/>
      <c r="D20" s="21" t="s">
        <v>188</v>
      </c>
      <c r="E20" s="59" t="s">
        <v>36</v>
      </c>
      <c r="F20" s="21" t="s">
        <v>216</v>
      </c>
      <c r="G20" s="22" t="s">
        <v>37</v>
      </c>
      <c r="H20" s="21" t="s">
        <v>34</v>
      </c>
      <c r="I20" s="21" t="s">
        <v>219</v>
      </c>
      <c r="K20" s="37"/>
      <c r="L20" s="37"/>
    </row>
    <row r="21" spans="1:12" s="20" customFormat="1" x14ac:dyDescent="0.25">
      <c r="A21" s="31"/>
      <c r="B21" s="55"/>
      <c r="C21" s="32"/>
      <c r="D21" s="21" t="s">
        <v>188</v>
      </c>
      <c r="E21" s="21" t="s">
        <v>36</v>
      </c>
      <c r="F21" s="21" t="s">
        <v>217</v>
      </c>
      <c r="G21" s="73" t="s">
        <v>142</v>
      </c>
      <c r="H21" s="21" t="s">
        <v>34</v>
      </c>
      <c r="I21" s="21" t="s">
        <v>218</v>
      </c>
      <c r="K21" s="37"/>
      <c r="L21" s="37"/>
    </row>
    <row r="22" spans="1:12" s="20" customFormat="1" x14ac:dyDescent="0.25">
      <c r="A22" s="63"/>
      <c r="B22" s="64"/>
      <c r="C22" s="65"/>
      <c r="D22" s="66"/>
      <c r="E22" s="66"/>
      <c r="F22" s="66"/>
      <c r="G22" s="67"/>
      <c r="H22" s="66"/>
      <c r="I22" s="66"/>
      <c r="K22" s="37"/>
      <c r="L22" s="37"/>
    </row>
    <row r="23" spans="1:12" s="20" customFormat="1" x14ac:dyDescent="0.25">
      <c r="A23" s="63"/>
      <c r="B23" s="64"/>
      <c r="C23" s="65"/>
      <c r="D23" s="66"/>
      <c r="E23" s="66"/>
      <c r="F23" s="66"/>
      <c r="G23" s="67"/>
      <c r="H23" s="66"/>
      <c r="I23" s="66"/>
      <c r="K23" s="37"/>
      <c r="L23" s="37"/>
    </row>
    <row r="24" spans="1:12" s="20" customFormat="1" ht="27" x14ac:dyDescent="0.25">
      <c r="A24" s="77" t="s">
        <v>206</v>
      </c>
      <c r="B24" s="77"/>
      <c r="C24" s="77"/>
      <c r="D24" s="46"/>
      <c r="E24" s="47"/>
      <c r="F24" s="48"/>
      <c r="G24" s="48"/>
      <c r="H24" s="49"/>
      <c r="I24" s="13" t="s">
        <v>28</v>
      </c>
      <c r="K24" s="37"/>
      <c r="L24" s="37"/>
    </row>
    <row r="25" spans="1:12" s="20" customFormat="1" x14ac:dyDescent="0.25">
      <c r="A25" s="14" t="s">
        <v>10</v>
      </c>
      <c r="B25" s="43" t="s">
        <v>11</v>
      </c>
      <c r="C25" s="15" t="s">
        <v>12</v>
      </c>
      <c r="D25" s="16" t="s">
        <v>13</v>
      </c>
      <c r="E25" s="17" t="s">
        <v>14</v>
      </c>
      <c r="F25" s="16" t="s">
        <v>15</v>
      </c>
      <c r="G25" s="16" t="s">
        <v>16</v>
      </c>
      <c r="H25" s="18" t="s">
        <v>17</v>
      </c>
      <c r="I25" s="19" t="s">
        <v>29</v>
      </c>
      <c r="K25" s="37"/>
      <c r="L25" s="37"/>
    </row>
    <row r="26" spans="1:12" s="20" customFormat="1" x14ac:dyDescent="0.25">
      <c r="A26" s="14"/>
      <c r="B26" s="43"/>
      <c r="C26" s="15"/>
      <c r="D26" s="21" t="s">
        <v>146</v>
      </c>
      <c r="E26" s="21" t="s">
        <v>36</v>
      </c>
      <c r="F26" s="21" t="s">
        <v>147</v>
      </c>
      <c r="G26" s="75" t="s">
        <v>37</v>
      </c>
      <c r="H26" s="21" t="s">
        <v>34</v>
      </c>
      <c r="I26" s="21" t="s">
        <v>159</v>
      </c>
      <c r="K26" s="37"/>
      <c r="L26" s="37"/>
    </row>
    <row r="27" spans="1:12" s="20" customFormat="1" x14ac:dyDescent="0.25">
      <c r="A27" s="14"/>
      <c r="B27" s="43"/>
      <c r="C27" s="15"/>
      <c r="D27" s="21" t="s">
        <v>146</v>
      </c>
      <c r="E27" s="21" t="s">
        <v>36</v>
      </c>
      <c r="F27" s="21" t="s">
        <v>147</v>
      </c>
      <c r="G27" s="24" t="s">
        <v>142</v>
      </c>
      <c r="H27" s="21" t="s">
        <v>34</v>
      </c>
      <c r="I27" s="21" t="s">
        <v>138</v>
      </c>
      <c r="K27" s="37"/>
      <c r="L27" s="37"/>
    </row>
    <row r="28" spans="1:12" s="20" customFormat="1" x14ac:dyDescent="0.25">
      <c r="A28" s="14"/>
      <c r="B28" s="43"/>
      <c r="C28" s="15"/>
      <c r="D28" s="21" t="s">
        <v>146</v>
      </c>
      <c r="E28" s="59" t="s">
        <v>36</v>
      </c>
      <c r="F28" s="21" t="s">
        <v>148</v>
      </c>
      <c r="G28" s="75" t="s">
        <v>37</v>
      </c>
      <c r="H28" s="21" t="s">
        <v>34</v>
      </c>
      <c r="I28" s="21" t="s">
        <v>166</v>
      </c>
      <c r="K28" s="37"/>
      <c r="L28" s="37"/>
    </row>
    <row r="29" spans="1:12" s="20" customFormat="1" x14ac:dyDescent="0.25">
      <c r="A29" s="14"/>
      <c r="B29" s="43"/>
      <c r="C29" s="15"/>
      <c r="D29" s="21" t="s">
        <v>146</v>
      </c>
      <c r="E29" s="21" t="s">
        <v>36</v>
      </c>
      <c r="F29" s="21" t="s">
        <v>148</v>
      </c>
      <c r="G29" s="24" t="s">
        <v>142</v>
      </c>
      <c r="H29" s="21" t="s">
        <v>34</v>
      </c>
      <c r="I29" s="21" t="s">
        <v>167</v>
      </c>
      <c r="K29" s="37"/>
      <c r="L29" s="37"/>
    </row>
    <row r="30" spans="1:12" s="20" customFormat="1" x14ac:dyDescent="0.25">
      <c r="A30" s="14"/>
      <c r="B30" s="43"/>
      <c r="C30" s="15"/>
      <c r="D30" s="21" t="s">
        <v>146</v>
      </c>
      <c r="E30" s="21" t="s">
        <v>36</v>
      </c>
      <c r="F30" s="21" t="s">
        <v>124</v>
      </c>
      <c r="G30" s="75" t="s">
        <v>37</v>
      </c>
      <c r="H30" s="21" t="s">
        <v>34</v>
      </c>
      <c r="I30" s="21" t="s">
        <v>127</v>
      </c>
      <c r="K30" s="37"/>
      <c r="L30" s="37"/>
    </row>
    <row r="31" spans="1:12" s="20" customFormat="1" x14ac:dyDescent="0.25">
      <c r="A31" s="14"/>
      <c r="B31" s="43"/>
      <c r="C31" s="15"/>
      <c r="D31" s="21" t="s">
        <v>146</v>
      </c>
      <c r="E31" s="21" t="s">
        <v>36</v>
      </c>
      <c r="F31" s="21" t="s">
        <v>124</v>
      </c>
      <c r="G31" s="24" t="s">
        <v>142</v>
      </c>
      <c r="H31" s="21" t="s">
        <v>34</v>
      </c>
      <c r="I31" s="21" t="s">
        <v>127</v>
      </c>
      <c r="K31" s="37"/>
      <c r="L31" s="37"/>
    </row>
    <row r="32" spans="1:12" s="20" customFormat="1" x14ac:dyDescent="0.25">
      <c r="A32" s="14"/>
      <c r="B32" s="43"/>
      <c r="C32" s="15"/>
      <c r="D32" s="21" t="s">
        <v>146</v>
      </c>
      <c r="E32" s="21" t="s">
        <v>36</v>
      </c>
      <c r="F32" s="21" t="s">
        <v>125</v>
      </c>
      <c r="G32" s="75" t="s">
        <v>37</v>
      </c>
      <c r="H32" s="21" t="s">
        <v>34</v>
      </c>
      <c r="I32" s="21" t="s">
        <v>168</v>
      </c>
      <c r="K32" s="37"/>
      <c r="L32" s="37"/>
    </row>
    <row r="33" spans="1:12" s="20" customFormat="1" x14ac:dyDescent="0.25">
      <c r="A33" s="14"/>
      <c r="B33" s="43"/>
      <c r="C33" s="15"/>
      <c r="D33" s="21" t="s">
        <v>146</v>
      </c>
      <c r="E33" s="21" t="s">
        <v>36</v>
      </c>
      <c r="F33" s="21" t="s">
        <v>125</v>
      </c>
      <c r="G33" s="24" t="s">
        <v>142</v>
      </c>
      <c r="H33" s="21" t="s">
        <v>34</v>
      </c>
      <c r="I33" s="21" t="s">
        <v>127</v>
      </c>
      <c r="K33" s="37"/>
      <c r="L33" s="37"/>
    </row>
    <row r="34" spans="1:12" s="20" customFormat="1" x14ac:dyDescent="0.25">
      <c r="A34" s="14"/>
      <c r="B34" s="43"/>
      <c r="C34" s="15"/>
      <c r="D34" s="21" t="s">
        <v>146</v>
      </c>
      <c r="E34" s="21" t="s">
        <v>36</v>
      </c>
      <c r="F34" s="21" t="s">
        <v>149</v>
      </c>
      <c r="G34" s="75" t="s">
        <v>37</v>
      </c>
      <c r="H34" s="21" t="s">
        <v>34</v>
      </c>
      <c r="I34" s="21" t="s">
        <v>127</v>
      </c>
      <c r="K34" s="37"/>
      <c r="L34" s="37"/>
    </row>
    <row r="35" spans="1:12" s="20" customFormat="1" x14ac:dyDescent="0.25">
      <c r="A35" s="14"/>
      <c r="B35" s="43"/>
      <c r="C35" s="15"/>
      <c r="D35" s="21" t="s">
        <v>146</v>
      </c>
      <c r="E35" s="59" t="s">
        <v>36</v>
      </c>
      <c r="F35" s="21" t="s">
        <v>149</v>
      </c>
      <c r="G35" s="24" t="s">
        <v>142</v>
      </c>
      <c r="H35" s="21" t="s">
        <v>34</v>
      </c>
      <c r="I35" s="21" t="s">
        <v>127</v>
      </c>
      <c r="K35" s="37"/>
      <c r="L35" s="37"/>
    </row>
    <row r="36" spans="1:12" s="20" customFormat="1" x14ac:dyDescent="0.25">
      <c r="A36" s="14"/>
      <c r="B36" s="43"/>
      <c r="C36" s="15"/>
      <c r="D36" s="21" t="s">
        <v>146</v>
      </c>
      <c r="E36" s="21" t="s">
        <v>36</v>
      </c>
      <c r="F36" s="21" t="s">
        <v>150</v>
      </c>
      <c r="G36" s="75" t="s">
        <v>37</v>
      </c>
      <c r="H36" s="21" t="s">
        <v>34</v>
      </c>
      <c r="I36" s="21" t="s">
        <v>169</v>
      </c>
      <c r="K36" s="37"/>
      <c r="L36" s="37"/>
    </row>
    <row r="37" spans="1:12" s="20" customFormat="1" x14ac:dyDescent="0.25">
      <c r="A37" s="14"/>
      <c r="B37" s="43"/>
      <c r="C37" s="15"/>
      <c r="D37" s="21" t="s">
        <v>146</v>
      </c>
      <c r="E37" s="21" t="s">
        <v>36</v>
      </c>
      <c r="F37" s="21" t="s">
        <v>150</v>
      </c>
      <c r="G37" s="24" t="s">
        <v>142</v>
      </c>
      <c r="H37" s="21" t="s">
        <v>34</v>
      </c>
      <c r="I37" s="21" t="s">
        <v>127</v>
      </c>
      <c r="K37" s="37"/>
      <c r="L37" s="37"/>
    </row>
    <row r="38" spans="1:12" s="20" customFormat="1" x14ac:dyDescent="0.25">
      <c r="A38" s="14"/>
      <c r="B38" s="43"/>
      <c r="C38" s="15"/>
      <c r="D38" s="21" t="s">
        <v>146</v>
      </c>
      <c r="E38" s="21" t="s">
        <v>36</v>
      </c>
      <c r="F38" s="21" t="s">
        <v>151</v>
      </c>
      <c r="G38" s="75" t="s">
        <v>37</v>
      </c>
      <c r="H38" s="21" t="s">
        <v>34</v>
      </c>
      <c r="I38" s="21" t="s">
        <v>170</v>
      </c>
      <c r="K38" s="37"/>
      <c r="L38" s="37"/>
    </row>
    <row r="39" spans="1:12" s="20" customFormat="1" x14ac:dyDescent="0.25">
      <c r="A39" s="14"/>
      <c r="B39" s="43"/>
      <c r="C39" s="15"/>
      <c r="D39" s="21" t="s">
        <v>146</v>
      </c>
      <c r="E39" s="21" t="s">
        <v>36</v>
      </c>
      <c r="F39" s="21" t="s">
        <v>151</v>
      </c>
      <c r="G39" s="24" t="s">
        <v>142</v>
      </c>
      <c r="H39" s="21" t="s">
        <v>34</v>
      </c>
      <c r="I39" s="21" t="s">
        <v>127</v>
      </c>
      <c r="K39" s="37"/>
      <c r="L39" s="37"/>
    </row>
    <row r="40" spans="1:12" s="20" customFormat="1" x14ac:dyDescent="0.25">
      <c r="A40" s="14"/>
      <c r="B40" s="43"/>
      <c r="C40" s="15"/>
      <c r="D40" s="21" t="s">
        <v>146</v>
      </c>
      <c r="E40" s="59" t="s">
        <v>36</v>
      </c>
      <c r="F40" s="21" t="s">
        <v>152</v>
      </c>
      <c r="G40" s="75" t="s">
        <v>37</v>
      </c>
      <c r="H40" s="21" t="s">
        <v>34</v>
      </c>
      <c r="I40" s="21" t="s">
        <v>159</v>
      </c>
      <c r="K40" s="37"/>
      <c r="L40" s="37"/>
    </row>
    <row r="41" spans="1:12" s="20" customFormat="1" x14ac:dyDescent="0.25">
      <c r="A41" s="14"/>
      <c r="B41" s="43"/>
      <c r="C41" s="15"/>
      <c r="D41" s="21" t="s">
        <v>146</v>
      </c>
      <c r="E41" s="21" t="s">
        <v>36</v>
      </c>
      <c r="F41" s="21" t="s">
        <v>152</v>
      </c>
      <c r="G41" s="24" t="s">
        <v>142</v>
      </c>
      <c r="H41" s="21" t="s">
        <v>34</v>
      </c>
      <c r="I41" s="21" t="s">
        <v>138</v>
      </c>
      <c r="K41" s="37"/>
      <c r="L41" s="37"/>
    </row>
    <row r="42" spans="1:12" s="20" customFormat="1" x14ac:dyDescent="0.25">
      <c r="A42" s="14"/>
      <c r="B42" s="43"/>
      <c r="C42" s="15"/>
      <c r="D42" s="21" t="s">
        <v>146</v>
      </c>
      <c r="E42" s="21" t="s">
        <v>36</v>
      </c>
      <c r="F42" s="21" t="s">
        <v>130</v>
      </c>
      <c r="G42" s="75" t="s">
        <v>37</v>
      </c>
      <c r="H42" s="21" t="s">
        <v>34</v>
      </c>
      <c r="I42" s="21" t="s">
        <v>171</v>
      </c>
      <c r="K42" s="37"/>
      <c r="L42" s="37"/>
    </row>
    <row r="43" spans="1:12" s="20" customFormat="1" x14ac:dyDescent="0.25">
      <c r="A43" s="14"/>
      <c r="B43" s="43"/>
      <c r="C43" s="15"/>
      <c r="D43" s="21" t="s">
        <v>146</v>
      </c>
      <c r="E43" s="21" t="s">
        <v>36</v>
      </c>
      <c r="F43" s="21" t="s">
        <v>130</v>
      </c>
      <c r="G43" s="24" t="s">
        <v>142</v>
      </c>
      <c r="H43" s="21" t="s">
        <v>34</v>
      </c>
      <c r="I43" s="21" t="s">
        <v>127</v>
      </c>
      <c r="K43" s="37"/>
      <c r="L43" s="37"/>
    </row>
    <row r="44" spans="1:12" s="20" customFormat="1" x14ac:dyDescent="0.25">
      <c r="A44" s="14"/>
      <c r="B44" s="43"/>
      <c r="C44" s="15"/>
      <c r="D44" s="21" t="s">
        <v>146</v>
      </c>
      <c r="E44" s="59" t="s">
        <v>36</v>
      </c>
      <c r="F44" s="21" t="s">
        <v>153</v>
      </c>
      <c r="G44" s="75" t="s">
        <v>37</v>
      </c>
      <c r="H44" s="21" t="s">
        <v>34</v>
      </c>
      <c r="I44" s="21" t="s">
        <v>166</v>
      </c>
      <c r="K44" s="37"/>
      <c r="L44" s="37"/>
    </row>
    <row r="45" spans="1:12" s="20" customFormat="1" x14ac:dyDescent="0.25">
      <c r="A45" s="14"/>
      <c r="B45" s="43"/>
      <c r="C45" s="15"/>
      <c r="D45" s="21" t="s">
        <v>146</v>
      </c>
      <c r="E45" s="21" t="s">
        <v>36</v>
      </c>
      <c r="F45" s="21" t="s">
        <v>153</v>
      </c>
      <c r="G45" s="24" t="s">
        <v>142</v>
      </c>
      <c r="H45" s="21" t="s">
        <v>34</v>
      </c>
      <c r="I45" s="21" t="s">
        <v>167</v>
      </c>
      <c r="K45" s="37"/>
      <c r="L45" s="37"/>
    </row>
    <row r="46" spans="1:12" s="20" customFormat="1" x14ac:dyDescent="0.25">
      <c r="A46" s="14"/>
      <c r="B46" s="43"/>
      <c r="C46" s="15"/>
      <c r="D46" s="21" t="s">
        <v>146</v>
      </c>
      <c r="E46" s="21" t="s">
        <v>36</v>
      </c>
      <c r="F46" s="21" t="s">
        <v>154</v>
      </c>
      <c r="G46" s="75" t="s">
        <v>37</v>
      </c>
      <c r="H46" s="21" t="s">
        <v>34</v>
      </c>
      <c r="I46" s="21" t="s">
        <v>166</v>
      </c>
      <c r="K46" s="37"/>
      <c r="L46" s="37"/>
    </row>
    <row r="47" spans="1:12" s="20" customFormat="1" x14ac:dyDescent="0.25">
      <c r="A47" s="14"/>
      <c r="B47" s="43"/>
      <c r="C47" s="15"/>
      <c r="D47" s="21" t="s">
        <v>146</v>
      </c>
      <c r="E47" s="21" t="s">
        <v>36</v>
      </c>
      <c r="F47" s="21" t="s">
        <v>154</v>
      </c>
      <c r="G47" s="73" t="s">
        <v>142</v>
      </c>
      <c r="H47" s="21" t="s">
        <v>34</v>
      </c>
      <c r="I47" s="21" t="s">
        <v>127</v>
      </c>
      <c r="K47" s="37"/>
      <c r="L47" s="37"/>
    </row>
    <row r="48" spans="1:12" s="20" customFormat="1" x14ac:dyDescent="0.25">
      <c r="A48" s="14"/>
      <c r="B48" s="43"/>
      <c r="C48" s="15"/>
      <c r="D48" s="21" t="s">
        <v>146</v>
      </c>
      <c r="E48" s="21" t="s">
        <v>36</v>
      </c>
      <c r="F48" s="21" t="s">
        <v>155</v>
      </c>
      <c r="G48" s="75" t="s">
        <v>37</v>
      </c>
      <c r="H48" s="21" t="s">
        <v>34</v>
      </c>
      <c r="I48" s="21" t="s">
        <v>172</v>
      </c>
      <c r="K48" s="37"/>
      <c r="L48" s="37"/>
    </row>
    <row r="49" spans="1:12" s="20" customFormat="1" x14ac:dyDescent="0.25">
      <c r="A49" s="14"/>
      <c r="B49" s="43"/>
      <c r="C49" s="15"/>
      <c r="D49" s="21" t="s">
        <v>146</v>
      </c>
      <c r="E49" s="21" t="s">
        <v>36</v>
      </c>
      <c r="F49" s="21" t="s">
        <v>155</v>
      </c>
      <c r="G49" s="24" t="s">
        <v>142</v>
      </c>
      <c r="H49" s="21" t="s">
        <v>34</v>
      </c>
      <c r="I49" s="21" t="s">
        <v>134</v>
      </c>
      <c r="K49" s="37"/>
      <c r="L49" s="37"/>
    </row>
    <row r="50" spans="1:12" s="20" customFormat="1" x14ac:dyDescent="0.25">
      <c r="A50" s="14"/>
      <c r="B50" s="43"/>
      <c r="C50" s="15"/>
      <c r="D50" s="21" t="s">
        <v>146</v>
      </c>
      <c r="E50" s="21" t="s">
        <v>36</v>
      </c>
      <c r="F50" s="21" t="s">
        <v>156</v>
      </c>
      <c r="G50" s="75" t="s">
        <v>37</v>
      </c>
      <c r="H50" s="21" t="s">
        <v>34</v>
      </c>
      <c r="I50" s="21" t="s">
        <v>173</v>
      </c>
      <c r="K50" s="37"/>
      <c r="L50" s="37"/>
    </row>
    <row r="51" spans="1:12" s="20" customFormat="1" x14ac:dyDescent="0.25">
      <c r="A51" s="14"/>
      <c r="B51" s="43"/>
      <c r="C51" s="15"/>
      <c r="D51" s="21" t="s">
        <v>146</v>
      </c>
      <c r="E51" s="59" t="s">
        <v>36</v>
      </c>
      <c r="F51" s="21" t="s">
        <v>156</v>
      </c>
      <c r="G51" s="24" t="s">
        <v>142</v>
      </c>
      <c r="H51" s="21" t="s">
        <v>34</v>
      </c>
      <c r="I51" s="21" t="s">
        <v>208</v>
      </c>
      <c r="K51" s="37"/>
      <c r="L51" s="37"/>
    </row>
    <row r="52" spans="1:12" s="20" customFormat="1" x14ac:dyDescent="0.25">
      <c r="A52" s="14"/>
      <c r="B52" s="43"/>
      <c r="C52" s="15"/>
      <c r="D52" s="21" t="s">
        <v>146</v>
      </c>
      <c r="E52" s="21" t="s">
        <v>36</v>
      </c>
      <c r="F52" s="21" t="s">
        <v>157</v>
      </c>
      <c r="G52" s="73" t="s">
        <v>37</v>
      </c>
      <c r="H52" s="21" t="s">
        <v>34</v>
      </c>
      <c r="I52" s="21" t="s">
        <v>174</v>
      </c>
      <c r="K52" s="37"/>
      <c r="L52" s="37"/>
    </row>
    <row r="53" spans="1:12" s="20" customFormat="1" x14ac:dyDescent="0.25">
      <c r="A53" s="14"/>
      <c r="B53" s="43"/>
      <c r="C53" s="15"/>
      <c r="D53" s="21" t="s">
        <v>146</v>
      </c>
      <c r="E53" s="21" t="s">
        <v>36</v>
      </c>
      <c r="F53" s="21" t="s">
        <v>157</v>
      </c>
      <c r="G53" s="22" t="s">
        <v>142</v>
      </c>
      <c r="H53" s="21" t="s">
        <v>34</v>
      </c>
      <c r="I53" s="21" t="s">
        <v>127</v>
      </c>
      <c r="K53" s="37"/>
      <c r="L53" s="37"/>
    </row>
    <row r="54" spans="1:12" s="20" customFormat="1" x14ac:dyDescent="0.25">
      <c r="A54" s="14"/>
      <c r="B54" s="43"/>
      <c r="C54" s="15"/>
      <c r="D54" s="21" t="s">
        <v>146</v>
      </c>
      <c r="E54" s="59" t="s">
        <v>36</v>
      </c>
      <c r="F54" s="21" t="s">
        <v>158</v>
      </c>
      <c r="G54" s="73" t="s">
        <v>37</v>
      </c>
      <c r="H54" s="21" t="s">
        <v>34</v>
      </c>
      <c r="I54" s="21" t="s">
        <v>140</v>
      </c>
      <c r="K54" s="37"/>
      <c r="L54" s="37"/>
    </row>
    <row r="55" spans="1:12" s="20" customFormat="1" x14ac:dyDescent="0.25">
      <c r="A55" s="14"/>
      <c r="B55" s="43"/>
      <c r="C55" s="15"/>
      <c r="D55" s="21" t="s">
        <v>146</v>
      </c>
      <c r="E55" s="21" t="s">
        <v>36</v>
      </c>
      <c r="F55" s="21" t="s">
        <v>158</v>
      </c>
      <c r="G55" s="22" t="s">
        <v>142</v>
      </c>
      <c r="H55" s="21" t="s">
        <v>34</v>
      </c>
      <c r="I55" s="21" t="s">
        <v>127</v>
      </c>
      <c r="K55" s="37"/>
      <c r="L55" s="37"/>
    </row>
    <row r="56" spans="1:12" s="20" customFormat="1" x14ac:dyDescent="0.25">
      <c r="A56" s="14"/>
      <c r="B56" s="43"/>
      <c r="C56" s="15"/>
      <c r="D56" s="21" t="s">
        <v>146</v>
      </c>
      <c r="E56" s="21" t="s">
        <v>36</v>
      </c>
      <c r="F56" s="21" t="s">
        <v>141</v>
      </c>
      <c r="G56" s="73" t="s">
        <v>37</v>
      </c>
      <c r="H56" s="21" t="s">
        <v>34</v>
      </c>
      <c r="I56" s="21" t="s">
        <v>133</v>
      </c>
      <c r="K56" s="37"/>
      <c r="L56" s="37"/>
    </row>
    <row r="57" spans="1:12" s="20" customFormat="1" x14ac:dyDescent="0.25">
      <c r="A57" s="14"/>
      <c r="B57" s="43"/>
      <c r="C57" s="15"/>
      <c r="D57" s="21" t="s">
        <v>146</v>
      </c>
      <c r="E57" s="21" t="s">
        <v>36</v>
      </c>
      <c r="F57" s="21" t="s">
        <v>141</v>
      </c>
      <c r="G57" s="22" t="s">
        <v>142</v>
      </c>
      <c r="H57" s="21" t="s">
        <v>34</v>
      </c>
      <c r="I57" s="21" t="s">
        <v>133</v>
      </c>
      <c r="K57" s="37"/>
      <c r="L57" s="37"/>
    </row>
    <row r="58" spans="1:12" s="20" customFormat="1" x14ac:dyDescent="0.25">
      <c r="A58" s="14"/>
      <c r="B58" s="43"/>
      <c r="C58" s="15"/>
      <c r="D58" s="21" t="s">
        <v>146</v>
      </c>
      <c r="E58" s="21" t="s">
        <v>36</v>
      </c>
      <c r="F58" s="21" t="s">
        <v>159</v>
      </c>
      <c r="G58" s="73" t="s">
        <v>37</v>
      </c>
      <c r="H58" s="21" t="s">
        <v>34</v>
      </c>
      <c r="I58" s="21" t="s">
        <v>133</v>
      </c>
      <c r="K58" s="37"/>
      <c r="L58" s="37"/>
    </row>
    <row r="59" spans="1:12" s="20" customFormat="1" x14ac:dyDescent="0.25">
      <c r="A59" s="14"/>
      <c r="B59" s="43"/>
      <c r="C59" s="15"/>
      <c r="D59" s="21" t="s">
        <v>146</v>
      </c>
      <c r="E59" s="21" t="s">
        <v>36</v>
      </c>
      <c r="F59" s="21" t="s">
        <v>159</v>
      </c>
      <c r="G59" s="22" t="s">
        <v>142</v>
      </c>
      <c r="H59" s="21" t="s">
        <v>34</v>
      </c>
      <c r="I59" s="21" t="s">
        <v>133</v>
      </c>
      <c r="K59" s="37"/>
      <c r="L59" s="37"/>
    </row>
    <row r="60" spans="1:12" s="20" customFormat="1" x14ac:dyDescent="0.25">
      <c r="A60" s="14"/>
      <c r="B60" s="43"/>
      <c r="C60" s="15"/>
      <c r="D60" s="21" t="s">
        <v>146</v>
      </c>
      <c r="E60" s="21" t="s">
        <v>36</v>
      </c>
      <c r="F60" s="21" t="s">
        <v>160</v>
      </c>
      <c r="G60" s="73" t="s">
        <v>37</v>
      </c>
      <c r="H60" s="21" t="s">
        <v>34</v>
      </c>
      <c r="I60" s="21" t="s">
        <v>160</v>
      </c>
      <c r="K60" s="37"/>
      <c r="L60" s="37"/>
    </row>
    <row r="61" spans="1:12" s="20" customFormat="1" x14ac:dyDescent="0.25">
      <c r="A61" s="14"/>
      <c r="B61" s="43"/>
      <c r="C61" s="15"/>
      <c r="D61" s="21" t="s">
        <v>146</v>
      </c>
      <c r="E61" s="59" t="s">
        <v>36</v>
      </c>
      <c r="F61" s="21" t="s">
        <v>160</v>
      </c>
      <c r="G61" s="22" t="s">
        <v>142</v>
      </c>
      <c r="H61" s="21" t="s">
        <v>34</v>
      </c>
      <c r="I61" s="21" t="s">
        <v>160</v>
      </c>
      <c r="K61" s="37"/>
      <c r="L61" s="37"/>
    </row>
    <row r="62" spans="1:12" s="20" customFormat="1" x14ac:dyDescent="0.25">
      <c r="A62" s="14"/>
      <c r="B62" s="43"/>
      <c r="C62" s="15"/>
      <c r="D62" s="21" t="s">
        <v>146</v>
      </c>
      <c r="E62" s="21" t="s">
        <v>36</v>
      </c>
      <c r="F62" s="21" t="s">
        <v>161</v>
      </c>
      <c r="G62" s="73" t="s">
        <v>37</v>
      </c>
      <c r="H62" s="21" t="s">
        <v>34</v>
      </c>
      <c r="I62" s="21" t="s">
        <v>160</v>
      </c>
      <c r="K62" s="37"/>
      <c r="L62" s="37"/>
    </row>
    <row r="63" spans="1:12" s="20" customFormat="1" x14ac:dyDescent="0.25">
      <c r="A63" s="14"/>
      <c r="B63" s="43"/>
      <c r="C63" s="15"/>
      <c r="D63" s="21" t="s">
        <v>146</v>
      </c>
      <c r="E63" s="21" t="s">
        <v>36</v>
      </c>
      <c r="F63" s="21" t="s">
        <v>161</v>
      </c>
      <c r="G63" s="22" t="s">
        <v>142</v>
      </c>
      <c r="H63" s="21" t="s">
        <v>34</v>
      </c>
      <c r="I63" s="21" t="s">
        <v>160</v>
      </c>
      <c r="K63" s="37"/>
      <c r="L63" s="37"/>
    </row>
    <row r="64" spans="1:12" s="20" customFormat="1" x14ac:dyDescent="0.25">
      <c r="A64" s="14"/>
      <c r="B64" s="43"/>
      <c r="C64" s="15"/>
      <c r="D64" s="21" t="s">
        <v>146</v>
      </c>
      <c r="E64" s="21" t="s">
        <v>36</v>
      </c>
      <c r="F64" s="21" t="s">
        <v>162</v>
      </c>
      <c r="G64" s="73" t="s">
        <v>37</v>
      </c>
      <c r="H64" s="21" t="s">
        <v>34</v>
      </c>
      <c r="I64" s="21" t="s">
        <v>127</v>
      </c>
      <c r="K64" s="37"/>
      <c r="L64" s="37"/>
    </row>
    <row r="65" spans="1:16" s="20" customFormat="1" x14ac:dyDescent="0.25">
      <c r="A65" s="14"/>
      <c r="B65" s="43"/>
      <c r="C65" s="15"/>
      <c r="D65" s="21" t="s">
        <v>146</v>
      </c>
      <c r="E65" s="21" t="s">
        <v>36</v>
      </c>
      <c r="F65" s="21" t="s">
        <v>162</v>
      </c>
      <c r="G65" s="22" t="s">
        <v>142</v>
      </c>
      <c r="H65" s="21" t="s">
        <v>34</v>
      </c>
      <c r="I65" s="21" t="s">
        <v>127</v>
      </c>
      <c r="K65" s="37"/>
      <c r="L65" s="37"/>
    </row>
    <row r="66" spans="1:16" s="20" customFormat="1" x14ac:dyDescent="0.25">
      <c r="A66" s="14"/>
      <c r="B66" s="43"/>
      <c r="C66" s="15"/>
      <c r="D66" s="21" t="s">
        <v>146</v>
      </c>
      <c r="E66" s="59" t="s">
        <v>36</v>
      </c>
      <c r="F66" s="21" t="s">
        <v>163</v>
      </c>
      <c r="G66" s="73" t="s">
        <v>37</v>
      </c>
      <c r="H66" s="21" t="s">
        <v>34</v>
      </c>
      <c r="I66" s="21" t="s">
        <v>127</v>
      </c>
      <c r="K66" s="37"/>
      <c r="L66" s="37"/>
    </row>
    <row r="67" spans="1:16" s="20" customFormat="1" x14ac:dyDescent="0.25">
      <c r="A67" s="14"/>
      <c r="B67" s="43"/>
      <c r="C67" s="15"/>
      <c r="D67" s="21" t="s">
        <v>146</v>
      </c>
      <c r="E67" s="21" t="s">
        <v>36</v>
      </c>
      <c r="F67" s="21" t="s">
        <v>163</v>
      </c>
      <c r="G67" s="22" t="s">
        <v>142</v>
      </c>
      <c r="H67" s="21" t="s">
        <v>34</v>
      </c>
      <c r="I67" s="21" t="s">
        <v>127</v>
      </c>
      <c r="K67" s="37"/>
      <c r="L67" s="37"/>
    </row>
    <row r="68" spans="1:16" s="20" customFormat="1" x14ac:dyDescent="0.25">
      <c r="A68" s="14"/>
      <c r="B68" s="43"/>
      <c r="C68" s="15"/>
      <c r="D68" s="21" t="s">
        <v>146</v>
      </c>
      <c r="E68" s="21" t="s">
        <v>36</v>
      </c>
      <c r="F68" s="21" t="s">
        <v>164</v>
      </c>
      <c r="G68" s="73" t="s">
        <v>37</v>
      </c>
      <c r="H68" s="21" t="s">
        <v>34</v>
      </c>
      <c r="I68" s="21" t="s">
        <v>133</v>
      </c>
      <c r="K68" s="37"/>
      <c r="L68" s="37"/>
    </row>
    <row r="69" spans="1:16" s="20" customFormat="1" x14ac:dyDescent="0.25">
      <c r="A69" s="14"/>
      <c r="B69" s="43"/>
      <c r="C69" s="15"/>
      <c r="D69" s="21" t="s">
        <v>146</v>
      </c>
      <c r="E69" s="21" t="s">
        <v>36</v>
      </c>
      <c r="F69" s="21" t="s">
        <v>164</v>
      </c>
      <c r="G69" s="22" t="s">
        <v>142</v>
      </c>
      <c r="H69" s="21" t="s">
        <v>34</v>
      </c>
      <c r="I69" s="21" t="s">
        <v>133</v>
      </c>
      <c r="K69" s="37"/>
      <c r="L69" s="37"/>
    </row>
    <row r="70" spans="1:16" s="20" customFormat="1" x14ac:dyDescent="0.25">
      <c r="A70" s="14"/>
      <c r="B70" s="43"/>
      <c r="C70" s="15"/>
      <c r="D70" s="21" t="s">
        <v>146</v>
      </c>
      <c r="E70" s="59" t="s">
        <v>36</v>
      </c>
      <c r="F70" s="21" t="s">
        <v>135</v>
      </c>
      <c r="G70" s="73" t="s">
        <v>37</v>
      </c>
      <c r="H70" s="21" t="s">
        <v>34</v>
      </c>
      <c r="I70" s="21" t="s">
        <v>160</v>
      </c>
      <c r="K70" s="37"/>
      <c r="L70" s="37"/>
    </row>
    <row r="71" spans="1:16" s="20" customFormat="1" x14ac:dyDescent="0.25">
      <c r="A71" s="14"/>
      <c r="B71" s="43"/>
      <c r="C71" s="15"/>
      <c r="D71" s="21" t="s">
        <v>146</v>
      </c>
      <c r="E71" s="21" t="s">
        <v>36</v>
      </c>
      <c r="F71" s="21" t="s">
        <v>135</v>
      </c>
      <c r="G71" s="22" t="s">
        <v>142</v>
      </c>
      <c r="H71" s="21" t="s">
        <v>34</v>
      </c>
      <c r="I71" s="21" t="s">
        <v>160</v>
      </c>
      <c r="K71" s="37"/>
      <c r="L71" s="37"/>
    </row>
    <row r="72" spans="1:16" s="20" customFormat="1" x14ac:dyDescent="0.25">
      <c r="A72" s="14"/>
      <c r="B72" s="43"/>
      <c r="C72" s="15"/>
      <c r="D72" s="21" t="s">
        <v>146</v>
      </c>
      <c r="E72" s="21" t="s">
        <v>36</v>
      </c>
      <c r="F72" s="21" t="s">
        <v>165</v>
      </c>
      <c r="G72" s="73" t="s">
        <v>37</v>
      </c>
      <c r="H72" s="21" t="s">
        <v>34</v>
      </c>
      <c r="I72" s="21" t="s">
        <v>175</v>
      </c>
      <c r="K72" s="37"/>
      <c r="L72" s="37"/>
    </row>
    <row r="73" spans="1:16" s="20" customFormat="1" x14ac:dyDescent="0.25">
      <c r="A73" s="14"/>
      <c r="B73" s="43"/>
      <c r="C73" s="15"/>
      <c r="D73" s="21" t="s">
        <v>146</v>
      </c>
      <c r="E73" s="21" t="s">
        <v>36</v>
      </c>
      <c r="F73" s="21" t="s">
        <v>165</v>
      </c>
      <c r="G73" s="22" t="s">
        <v>142</v>
      </c>
      <c r="H73" s="21" t="s">
        <v>34</v>
      </c>
      <c r="I73" s="21" t="s">
        <v>127</v>
      </c>
      <c r="K73" s="37"/>
      <c r="L73" s="37"/>
    </row>
    <row r="74" spans="1:16" s="20" customFormat="1" x14ac:dyDescent="0.25">
      <c r="A74" s="14"/>
      <c r="B74" s="43"/>
      <c r="C74" s="15"/>
      <c r="D74" s="21" t="s">
        <v>146</v>
      </c>
      <c r="E74" s="21" t="s">
        <v>36</v>
      </c>
      <c r="F74" s="21" t="s">
        <v>133</v>
      </c>
      <c r="G74" s="73" t="s">
        <v>37</v>
      </c>
      <c r="H74" s="21" t="s">
        <v>34</v>
      </c>
      <c r="I74" s="21" t="s">
        <v>176</v>
      </c>
      <c r="K74" s="37"/>
      <c r="L74" s="37"/>
    </row>
    <row r="75" spans="1:16" s="20" customFormat="1" x14ac:dyDescent="0.25">
      <c r="A75" s="14"/>
      <c r="B75" s="43"/>
      <c r="C75" s="15"/>
      <c r="D75" s="21" t="s">
        <v>146</v>
      </c>
      <c r="E75" s="21" t="s">
        <v>36</v>
      </c>
      <c r="F75" s="21" t="s">
        <v>133</v>
      </c>
      <c r="G75" s="22" t="s">
        <v>142</v>
      </c>
      <c r="H75" s="21" t="s">
        <v>34</v>
      </c>
      <c r="I75" s="21" t="s">
        <v>127</v>
      </c>
      <c r="K75" s="37"/>
      <c r="L75" s="37"/>
    </row>
    <row r="76" spans="1:16" s="20" customFormat="1" x14ac:dyDescent="0.25">
      <c r="A76" s="63"/>
      <c r="B76" s="65"/>
      <c r="C76" s="65"/>
      <c r="D76" s="66"/>
      <c r="E76" s="66"/>
      <c r="F76" s="66"/>
      <c r="G76" s="67"/>
      <c r="H76" s="66"/>
      <c r="I76" s="66"/>
      <c r="K76" s="37"/>
      <c r="L76" s="37"/>
    </row>
    <row r="77" spans="1:16" s="68" customFormat="1" x14ac:dyDescent="0.25">
      <c r="A77" s="63"/>
      <c r="B77" s="64"/>
      <c r="C77" s="65"/>
      <c r="D77" s="66"/>
      <c r="E77" s="66"/>
      <c r="F77" s="66"/>
      <c r="G77" s="67"/>
      <c r="H77" s="66"/>
      <c r="I77" s="66"/>
      <c r="K77" s="69"/>
      <c r="L77" s="69"/>
    </row>
    <row r="78" spans="1:16" ht="27" x14ac:dyDescent="0.25">
      <c r="A78" s="77" t="s">
        <v>100</v>
      </c>
      <c r="B78" s="77"/>
      <c r="C78" s="77"/>
      <c r="D78" s="46"/>
      <c r="E78" s="47"/>
      <c r="F78" s="48"/>
      <c r="G78" s="48"/>
      <c r="H78" s="49"/>
      <c r="I78" s="13" t="s">
        <v>28</v>
      </c>
    </row>
    <row r="79" spans="1:16" x14ac:dyDescent="0.25">
      <c r="A79" s="14" t="s">
        <v>10</v>
      </c>
      <c r="B79" s="43" t="s">
        <v>11</v>
      </c>
      <c r="C79" s="15" t="s">
        <v>12</v>
      </c>
      <c r="D79" s="16" t="s">
        <v>13</v>
      </c>
      <c r="E79" s="17" t="s">
        <v>14</v>
      </c>
      <c r="F79" s="16" t="s">
        <v>15</v>
      </c>
      <c r="G79" s="16" t="s">
        <v>16</v>
      </c>
      <c r="H79" s="18" t="s">
        <v>17</v>
      </c>
      <c r="I79" s="19" t="s">
        <v>29</v>
      </c>
    </row>
    <row r="80" spans="1:16" s="20" customFormat="1" x14ac:dyDescent="0.25">
      <c r="A80" s="31" t="s">
        <v>94</v>
      </c>
      <c r="B80" s="32" t="s">
        <v>54</v>
      </c>
      <c r="C80" s="32" t="s">
        <v>52</v>
      </c>
      <c r="D80" s="21" t="s">
        <v>92</v>
      </c>
      <c r="E80" s="21" t="s">
        <v>36</v>
      </c>
      <c r="F80" s="21" t="s">
        <v>46</v>
      </c>
      <c r="G80" s="22" t="s">
        <v>37</v>
      </c>
      <c r="H80" s="21" t="s">
        <v>34</v>
      </c>
      <c r="I80" s="21" t="str">
        <f>"0x"&amp;TEXT(J80,"00")</f>
        <v>0x59</v>
      </c>
      <c r="J80" s="20" t="str">
        <f>DEC2HEX(MOD(K80,256))</f>
        <v>59</v>
      </c>
      <c r="K80" s="37">
        <f>P82-1</f>
        <v>857</v>
      </c>
      <c r="L80" s="78" t="s">
        <v>89</v>
      </c>
      <c r="M80" s="78"/>
      <c r="N80" s="78"/>
      <c r="O80" s="78"/>
      <c r="P80" s="78"/>
    </row>
    <row r="81" spans="1:16" s="20" customFormat="1" x14ac:dyDescent="0.25">
      <c r="A81" s="31" t="s">
        <v>94</v>
      </c>
      <c r="B81" s="61" t="s">
        <v>54</v>
      </c>
      <c r="C81" s="61"/>
      <c r="D81" s="21" t="s">
        <v>92</v>
      </c>
      <c r="E81" s="62" t="s">
        <v>36</v>
      </c>
      <c r="F81" s="62" t="s">
        <v>46</v>
      </c>
      <c r="G81" s="70" t="s">
        <v>39</v>
      </c>
      <c r="H81" s="62" t="s">
        <v>34</v>
      </c>
      <c r="I81" s="21" t="str">
        <f t="shared" ref="I81:I119" si="0">"0x"&amp;TEXT(J81,"00")</f>
        <v>0x03</v>
      </c>
      <c r="J81" s="20" t="str">
        <f>DEC2HEX((K80-MOD(K80,256))/256)</f>
        <v>3</v>
      </c>
      <c r="K81" s="37"/>
      <c r="L81" s="71" t="s">
        <v>102</v>
      </c>
      <c r="M81" s="71" t="s">
        <v>103</v>
      </c>
      <c r="N81" s="71" t="s">
        <v>104</v>
      </c>
      <c r="O81" s="71" t="s">
        <v>105</v>
      </c>
      <c r="P81" s="71" t="s">
        <v>106</v>
      </c>
    </row>
    <row r="82" spans="1:16" s="20" customFormat="1" x14ac:dyDescent="0.25">
      <c r="A82" s="31" t="s">
        <v>93</v>
      </c>
      <c r="B82" s="32" t="s">
        <v>55</v>
      </c>
      <c r="C82" s="32" t="s">
        <v>52</v>
      </c>
      <c r="D82" s="21" t="s">
        <v>91</v>
      </c>
      <c r="E82" s="21" t="s">
        <v>36</v>
      </c>
      <c r="F82" s="21" t="s">
        <v>48</v>
      </c>
      <c r="G82" s="22" t="s">
        <v>37</v>
      </c>
      <c r="H82" s="21" t="s">
        <v>34</v>
      </c>
      <c r="I82" s="21" t="str">
        <f>"0x"&amp;TEXT(J82,"00")</f>
        <v>0xC</v>
      </c>
      <c r="J82" s="20" t="str">
        <f>DEC2HEX(MOD(K82,256))</f>
        <v>C</v>
      </c>
      <c r="K82" s="37">
        <f>P85-1</f>
        <v>524</v>
      </c>
      <c r="L82" s="72">
        <v>62</v>
      </c>
      <c r="M82" s="72">
        <v>60</v>
      </c>
      <c r="N82" s="72">
        <v>720</v>
      </c>
      <c r="O82" s="72">
        <f>P82-N82-M82-L82</f>
        <v>16</v>
      </c>
      <c r="P82" s="72">
        <v>858</v>
      </c>
    </row>
    <row r="83" spans="1:16" s="20" customFormat="1" x14ac:dyDescent="0.25">
      <c r="A83" s="31" t="s">
        <v>93</v>
      </c>
      <c r="B83" s="32" t="s">
        <v>55</v>
      </c>
      <c r="C83" s="32"/>
      <c r="D83" s="21" t="s">
        <v>91</v>
      </c>
      <c r="E83" s="21" t="s">
        <v>36</v>
      </c>
      <c r="F83" s="21" t="s">
        <v>48</v>
      </c>
      <c r="G83" s="24" t="s">
        <v>39</v>
      </c>
      <c r="H83" s="21" t="s">
        <v>34</v>
      </c>
      <c r="I83" s="21" t="str">
        <f t="shared" si="0"/>
        <v>0x02</v>
      </c>
      <c r="J83" s="20" t="str">
        <f>DEC2HEX((K82-MOD(K82,256))/256)</f>
        <v>2</v>
      </c>
      <c r="K83" s="37"/>
      <c r="L83" s="78" t="s">
        <v>107</v>
      </c>
      <c r="M83" s="78"/>
      <c r="N83" s="78"/>
      <c r="O83" s="78"/>
      <c r="P83" s="78"/>
    </row>
    <row r="84" spans="1:16" s="20" customFormat="1" x14ac:dyDescent="0.25">
      <c r="A84" s="31" t="s">
        <v>93</v>
      </c>
      <c r="B84" s="32" t="s">
        <v>53</v>
      </c>
      <c r="C84" s="32" t="s">
        <v>52</v>
      </c>
      <c r="D84" s="21" t="s">
        <v>91</v>
      </c>
      <c r="E84" s="21" t="s">
        <v>36</v>
      </c>
      <c r="F84" s="21" t="s">
        <v>47</v>
      </c>
      <c r="G84" s="22" t="s">
        <v>37</v>
      </c>
      <c r="H84" s="21" t="s">
        <v>34</v>
      </c>
      <c r="I84" s="21" t="str">
        <f t="shared" si="0"/>
        <v>0x00</v>
      </c>
      <c r="J84" s="20" t="str">
        <f>DEC2HEX(MOD(K84,256))</f>
        <v>0</v>
      </c>
      <c r="K84" s="37">
        <v>0</v>
      </c>
      <c r="L84" s="71" t="s">
        <v>102</v>
      </c>
      <c r="M84" s="71" t="s">
        <v>103</v>
      </c>
      <c r="N84" s="71" t="s">
        <v>104</v>
      </c>
      <c r="O84" s="71" t="s">
        <v>105</v>
      </c>
      <c r="P84" s="71" t="s">
        <v>106</v>
      </c>
    </row>
    <row r="85" spans="1:16" s="20" customFormat="1" x14ac:dyDescent="0.25">
      <c r="A85" s="31" t="s">
        <v>93</v>
      </c>
      <c r="B85" s="32" t="s">
        <v>53</v>
      </c>
      <c r="C85" s="32"/>
      <c r="D85" s="21" t="s">
        <v>91</v>
      </c>
      <c r="E85" s="21" t="s">
        <v>36</v>
      </c>
      <c r="F85" s="21" t="s">
        <v>47</v>
      </c>
      <c r="G85" s="24" t="s">
        <v>39</v>
      </c>
      <c r="H85" s="21" t="s">
        <v>34</v>
      </c>
      <c r="I85" s="21" t="str">
        <f t="shared" si="0"/>
        <v>0x00</v>
      </c>
      <c r="J85" s="20" t="str">
        <f>DEC2HEX((K84-MOD(K84,256))/256)</f>
        <v>0</v>
      </c>
      <c r="K85" s="37"/>
      <c r="L85" s="72">
        <v>6</v>
      </c>
      <c r="M85" s="72">
        <v>30</v>
      </c>
      <c r="N85" s="72">
        <v>480</v>
      </c>
      <c r="O85" s="72">
        <f>P85-N85-M85-L85</f>
        <v>9</v>
      </c>
      <c r="P85" s="72">
        <v>525</v>
      </c>
    </row>
    <row r="86" spans="1:16" s="20" customFormat="1" x14ac:dyDescent="0.25">
      <c r="A86" s="31" t="s">
        <v>93</v>
      </c>
      <c r="B86" s="32" t="s">
        <v>56</v>
      </c>
      <c r="C86" s="32" t="s">
        <v>52</v>
      </c>
      <c r="D86" s="21" t="s">
        <v>91</v>
      </c>
      <c r="E86" s="21" t="s">
        <v>36</v>
      </c>
      <c r="F86" s="21" t="s">
        <v>43</v>
      </c>
      <c r="G86" s="22" t="s">
        <v>37</v>
      </c>
      <c r="H86" s="21" t="s">
        <v>34</v>
      </c>
      <c r="I86" s="21" t="str">
        <f t="shared" si="0"/>
        <v>0x3D</v>
      </c>
      <c r="J86" s="20" t="str">
        <f>DEC2HEX(MOD(K86,256))</f>
        <v>3D</v>
      </c>
      <c r="K86" s="37">
        <f>L82-1</f>
        <v>61</v>
      </c>
      <c r="L86" s="78" t="s">
        <v>108</v>
      </c>
      <c r="M86" s="78"/>
      <c r="N86" s="78"/>
      <c r="O86" s="78"/>
      <c r="P86" s="78"/>
    </row>
    <row r="87" spans="1:16" s="20" customFormat="1" x14ac:dyDescent="0.25">
      <c r="A87" s="31" t="s">
        <v>93</v>
      </c>
      <c r="B87" s="32" t="s">
        <v>56</v>
      </c>
      <c r="C87" s="32"/>
      <c r="D87" s="21" t="s">
        <v>91</v>
      </c>
      <c r="E87" s="21" t="s">
        <v>36</v>
      </c>
      <c r="F87" s="21" t="s">
        <v>43</v>
      </c>
      <c r="G87" s="24" t="s">
        <v>39</v>
      </c>
      <c r="H87" s="21" t="s">
        <v>34</v>
      </c>
      <c r="I87" s="21" t="str">
        <f t="shared" si="0"/>
        <v>0x00</v>
      </c>
      <c r="J87" s="20" t="str">
        <f>DEC2HEX((K86-MOD(K86,256))/256)</f>
        <v>0</v>
      </c>
      <c r="K87" s="37"/>
      <c r="L87" s="79">
        <v>60</v>
      </c>
      <c r="M87" s="79"/>
      <c r="N87" s="79"/>
      <c r="O87" s="79"/>
      <c r="P87" s="79"/>
    </row>
    <row r="88" spans="1:16" s="20" customFormat="1" x14ac:dyDescent="0.25">
      <c r="A88" s="31" t="s">
        <v>93</v>
      </c>
      <c r="B88" s="32" t="s">
        <v>57</v>
      </c>
      <c r="C88" s="32" t="s">
        <v>52</v>
      </c>
      <c r="D88" s="21" t="s">
        <v>91</v>
      </c>
      <c r="E88" s="21" t="s">
        <v>36</v>
      </c>
      <c r="F88" s="21" t="s">
        <v>49</v>
      </c>
      <c r="G88" s="22" t="s">
        <v>37</v>
      </c>
      <c r="H88" s="21" t="s">
        <v>34</v>
      </c>
      <c r="I88" s="21" t="str">
        <f t="shared" si="0"/>
        <v>0x00</v>
      </c>
      <c r="J88" s="20" t="str">
        <f>DEC2HEX(MOD(K88,256))</f>
        <v>0</v>
      </c>
      <c r="K88" s="37">
        <v>0</v>
      </c>
      <c r="L88" s="37"/>
    </row>
    <row r="89" spans="1:16" s="20" customFormat="1" x14ac:dyDescent="0.25">
      <c r="A89" s="31" t="s">
        <v>93</v>
      </c>
      <c r="B89" s="32" t="s">
        <v>57</v>
      </c>
      <c r="C89" s="32"/>
      <c r="D89" s="21" t="s">
        <v>91</v>
      </c>
      <c r="E89" s="21" t="s">
        <v>36</v>
      </c>
      <c r="F89" s="21" t="s">
        <v>49</v>
      </c>
      <c r="G89" s="24" t="s">
        <v>39</v>
      </c>
      <c r="H89" s="21" t="s">
        <v>34</v>
      </c>
      <c r="I89" s="21" t="str">
        <f t="shared" si="0"/>
        <v>0x00</v>
      </c>
      <c r="J89" s="20" t="str">
        <f>DEC2HEX((K88-MOD(K88,256))/256)</f>
        <v>0</v>
      </c>
      <c r="K89" s="37"/>
      <c r="L89" s="37"/>
    </row>
    <row r="90" spans="1:16" s="20" customFormat="1" x14ac:dyDescent="0.25">
      <c r="A90" s="31" t="s">
        <v>93</v>
      </c>
      <c r="B90" s="32" t="s">
        <v>58</v>
      </c>
      <c r="C90" s="32" t="s">
        <v>52</v>
      </c>
      <c r="D90" s="21" t="s">
        <v>91</v>
      </c>
      <c r="E90" s="21" t="s">
        <v>36</v>
      </c>
      <c r="F90" s="21" t="s">
        <v>41</v>
      </c>
      <c r="G90" s="22" t="s">
        <v>37</v>
      </c>
      <c r="H90" s="21" t="s">
        <v>34</v>
      </c>
      <c r="I90" s="21" t="str">
        <f t="shared" si="0"/>
        <v>0x05</v>
      </c>
      <c r="J90" s="20" t="str">
        <f>DEC2HEX(MOD(K90,256))</f>
        <v>5</v>
      </c>
      <c r="K90" s="37">
        <f>L85-1</f>
        <v>5</v>
      </c>
      <c r="L90" s="37"/>
    </row>
    <row r="91" spans="1:16" s="20" customFormat="1" x14ac:dyDescent="0.25">
      <c r="A91" s="31" t="s">
        <v>93</v>
      </c>
      <c r="B91" s="32" t="s">
        <v>58</v>
      </c>
      <c r="C91" s="32"/>
      <c r="D91" s="21" t="s">
        <v>91</v>
      </c>
      <c r="E91" s="21" t="s">
        <v>36</v>
      </c>
      <c r="F91" s="21" t="s">
        <v>41</v>
      </c>
      <c r="G91" s="24" t="s">
        <v>39</v>
      </c>
      <c r="H91" s="21" t="s">
        <v>34</v>
      </c>
      <c r="I91" s="21" t="str">
        <f t="shared" si="0"/>
        <v>0x00</v>
      </c>
      <c r="J91" s="20" t="str">
        <f>DEC2HEX((K90-MOD(K90,256))/256)</f>
        <v>0</v>
      </c>
      <c r="K91" s="37"/>
      <c r="L91" s="37"/>
    </row>
    <row r="92" spans="1:16" s="20" customFormat="1" x14ac:dyDescent="0.25">
      <c r="A92" s="31" t="s">
        <v>93</v>
      </c>
      <c r="B92" s="32" t="s">
        <v>59</v>
      </c>
      <c r="C92" s="32" t="s">
        <v>52</v>
      </c>
      <c r="D92" s="21" t="s">
        <v>91</v>
      </c>
      <c r="E92" s="21" t="s">
        <v>36</v>
      </c>
      <c r="F92" s="21" t="s">
        <v>67</v>
      </c>
      <c r="G92" s="22" t="s">
        <v>37</v>
      </c>
      <c r="H92" s="21" t="s">
        <v>34</v>
      </c>
      <c r="I92" s="21" t="str">
        <f t="shared" si="0"/>
        <v>0x7A</v>
      </c>
      <c r="J92" s="20" t="str">
        <f>DEC2HEX(MOD(K92,256))</f>
        <v>7A</v>
      </c>
      <c r="K92" s="37">
        <f>L82+M82</f>
        <v>122</v>
      </c>
      <c r="L92" s="37"/>
    </row>
    <row r="93" spans="1:16" s="20" customFormat="1" x14ac:dyDescent="0.25">
      <c r="A93" s="31" t="s">
        <v>93</v>
      </c>
      <c r="B93" s="32" t="s">
        <v>59</v>
      </c>
      <c r="C93" s="32"/>
      <c r="D93" s="21" t="s">
        <v>91</v>
      </c>
      <c r="E93" s="21" t="s">
        <v>36</v>
      </c>
      <c r="F93" s="21" t="s">
        <v>67</v>
      </c>
      <c r="G93" s="24" t="s">
        <v>39</v>
      </c>
      <c r="H93" s="21" t="s">
        <v>34</v>
      </c>
      <c r="I93" s="21" t="str">
        <f t="shared" si="0"/>
        <v>0x00</v>
      </c>
      <c r="J93" s="20" t="str">
        <f>DEC2HEX((K92-MOD(K92,256))/256)</f>
        <v>0</v>
      </c>
      <c r="K93" s="37"/>
      <c r="L93" s="37"/>
    </row>
    <row r="94" spans="1:16" s="20" customFormat="1" x14ac:dyDescent="0.25">
      <c r="A94" s="31" t="s">
        <v>93</v>
      </c>
      <c r="B94" s="32" t="s">
        <v>60</v>
      </c>
      <c r="C94" s="32" t="s">
        <v>52</v>
      </c>
      <c r="D94" s="21" t="s">
        <v>91</v>
      </c>
      <c r="E94" s="21" t="s">
        <v>36</v>
      </c>
      <c r="F94" s="21" t="s">
        <v>68</v>
      </c>
      <c r="G94" s="22" t="s">
        <v>37</v>
      </c>
      <c r="H94" s="21" t="s">
        <v>34</v>
      </c>
      <c r="I94" s="21" t="str">
        <f t="shared" si="0"/>
        <v>0x49</v>
      </c>
      <c r="J94" s="20" t="str">
        <f>DEC2HEX(MOD(K94,256))</f>
        <v>49</v>
      </c>
      <c r="K94" s="37">
        <f>L82+M82+N82-1</f>
        <v>841</v>
      </c>
      <c r="L94" s="37"/>
    </row>
    <row r="95" spans="1:16" s="20" customFormat="1" x14ac:dyDescent="0.25">
      <c r="A95" s="31" t="s">
        <v>93</v>
      </c>
      <c r="B95" s="32" t="s">
        <v>60</v>
      </c>
      <c r="C95" s="32"/>
      <c r="D95" s="21" t="s">
        <v>91</v>
      </c>
      <c r="E95" s="21" t="s">
        <v>36</v>
      </c>
      <c r="F95" s="21" t="s">
        <v>50</v>
      </c>
      <c r="G95" s="24" t="s">
        <v>39</v>
      </c>
      <c r="H95" s="21" t="s">
        <v>34</v>
      </c>
      <c r="I95" s="21" t="str">
        <f t="shared" si="0"/>
        <v>0x03</v>
      </c>
      <c r="J95" s="20" t="str">
        <f>DEC2HEX((K94-MOD(K94,256))/256)</f>
        <v>3</v>
      </c>
      <c r="K95" s="37"/>
      <c r="L95" s="37"/>
    </row>
    <row r="96" spans="1:16" s="20" customFormat="1" x14ac:dyDescent="0.25">
      <c r="A96" s="31" t="s">
        <v>93</v>
      </c>
      <c r="B96" s="32" t="s">
        <v>61</v>
      </c>
      <c r="C96" s="32" t="s">
        <v>52</v>
      </c>
      <c r="D96" s="21" t="s">
        <v>91</v>
      </c>
      <c r="E96" s="21" t="s">
        <v>36</v>
      </c>
      <c r="F96" s="21" t="s">
        <v>51</v>
      </c>
      <c r="G96" s="22" t="s">
        <v>37</v>
      </c>
      <c r="H96" s="21" t="s">
        <v>34</v>
      </c>
      <c r="I96" s="21" t="str">
        <f t="shared" si="0"/>
        <v>0x24</v>
      </c>
      <c r="J96" s="20" t="str">
        <f>DEC2HEX(MOD(K96,256))</f>
        <v>24</v>
      </c>
      <c r="K96" s="37">
        <f>L85+M85</f>
        <v>36</v>
      </c>
      <c r="L96" s="37"/>
    </row>
    <row r="97" spans="1:12" s="20" customFormat="1" x14ac:dyDescent="0.25">
      <c r="A97" s="31" t="s">
        <v>93</v>
      </c>
      <c r="B97" s="32" t="s">
        <v>61</v>
      </c>
      <c r="C97" s="32"/>
      <c r="D97" s="21" t="s">
        <v>91</v>
      </c>
      <c r="E97" s="21" t="s">
        <v>36</v>
      </c>
      <c r="F97" s="21" t="s">
        <v>51</v>
      </c>
      <c r="G97" s="24" t="s">
        <v>39</v>
      </c>
      <c r="H97" s="21" t="s">
        <v>34</v>
      </c>
      <c r="I97" s="21" t="str">
        <f t="shared" si="0"/>
        <v>0x00</v>
      </c>
      <c r="J97" s="20" t="str">
        <f>DEC2HEX((K96-MOD(K96,256))/256)</f>
        <v>0</v>
      </c>
      <c r="K97" s="37"/>
      <c r="L97" s="37"/>
    </row>
    <row r="98" spans="1:12" s="20" customFormat="1" x14ac:dyDescent="0.25">
      <c r="A98" s="31" t="s">
        <v>93</v>
      </c>
      <c r="B98" s="32" t="s">
        <v>62</v>
      </c>
      <c r="C98" s="32" t="s">
        <v>52</v>
      </c>
      <c r="D98" s="21" t="s">
        <v>91</v>
      </c>
      <c r="E98" s="21" t="s">
        <v>36</v>
      </c>
      <c r="F98" s="21" t="s">
        <v>116</v>
      </c>
      <c r="G98" s="22" t="s">
        <v>37</v>
      </c>
      <c r="H98" s="21" t="s">
        <v>34</v>
      </c>
      <c r="I98" s="21" t="str">
        <f t="shared" si="0"/>
        <v>0x03</v>
      </c>
      <c r="J98" s="20" t="str">
        <f>DEC2HEX(MOD(K98,256))</f>
        <v>3</v>
      </c>
      <c r="K98" s="37">
        <f>L85+M85+N85-1</f>
        <v>515</v>
      </c>
      <c r="L98" s="37"/>
    </row>
    <row r="99" spans="1:12" s="20" customFormat="1" x14ac:dyDescent="0.25">
      <c r="A99" s="31" t="s">
        <v>93</v>
      </c>
      <c r="B99" s="32" t="s">
        <v>62</v>
      </c>
      <c r="C99" s="32"/>
      <c r="D99" s="21" t="s">
        <v>91</v>
      </c>
      <c r="E99" s="21" t="s">
        <v>36</v>
      </c>
      <c r="F99" s="21" t="s">
        <v>116</v>
      </c>
      <c r="G99" s="24" t="s">
        <v>39</v>
      </c>
      <c r="H99" s="21" t="s">
        <v>34</v>
      </c>
      <c r="I99" s="21" t="str">
        <f t="shared" si="0"/>
        <v>0x02</v>
      </c>
      <c r="J99" s="20" t="str">
        <f>DEC2HEX((K98-MOD(K98,256))/256)</f>
        <v>2</v>
      </c>
      <c r="K99" s="37"/>
      <c r="L99" s="37"/>
    </row>
    <row r="100" spans="1:12" s="20" customFormat="1" x14ac:dyDescent="0.25">
      <c r="A100" s="31" t="s">
        <v>93</v>
      </c>
      <c r="B100" s="55" t="s">
        <v>69</v>
      </c>
      <c r="C100" s="32" t="s">
        <v>52</v>
      </c>
      <c r="D100" s="21" t="s">
        <v>91</v>
      </c>
      <c r="E100" s="21" t="s">
        <v>36</v>
      </c>
      <c r="F100" s="21" t="s">
        <v>115</v>
      </c>
      <c r="G100" s="22" t="s">
        <v>37</v>
      </c>
      <c r="H100" s="21" t="s">
        <v>34</v>
      </c>
      <c r="I100" s="21" t="str">
        <f t="shared" si="0"/>
        <v>0x7A</v>
      </c>
      <c r="J100" s="20" t="str">
        <f>J92</f>
        <v>7A</v>
      </c>
      <c r="K100" s="37"/>
      <c r="L100" s="37"/>
    </row>
    <row r="101" spans="1:12" s="20" customFormat="1" x14ac:dyDescent="0.25">
      <c r="A101" s="31" t="s">
        <v>93</v>
      </c>
      <c r="B101" s="55" t="s">
        <v>69</v>
      </c>
      <c r="C101" s="32"/>
      <c r="D101" s="21" t="s">
        <v>91</v>
      </c>
      <c r="E101" s="21" t="s">
        <v>36</v>
      </c>
      <c r="F101" s="21" t="s">
        <v>115</v>
      </c>
      <c r="G101" s="24" t="s">
        <v>39</v>
      </c>
      <c r="H101" s="21" t="s">
        <v>34</v>
      </c>
      <c r="I101" s="21" t="str">
        <f t="shared" si="0"/>
        <v>0x00</v>
      </c>
      <c r="J101" s="20" t="str">
        <f t="shared" ref="J101:J107" si="1">J93</f>
        <v>0</v>
      </c>
      <c r="K101" s="37"/>
      <c r="L101" s="37"/>
    </row>
    <row r="102" spans="1:12" s="20" customFormat="1" x14ac:dyDescent="0.25">
      <c r="A102" s="31" t="s">
        <v>93</v>
      </c>
      <c r="B102" s="55" t="s">
        <v>70</v>
      </c>
      <c r="C102" s="32" t="s">
        <v>52</v>
      </c>
      <c r="D102" s="21" t="s">
        <v>91</v>
      </c>
      <c r="E102" s="21" t="s">
        <v>36</v>
      </c>
      <c r="F102" s="21" t="s">
        <v>114</v>
      </c>
      <c r="G102" s="22" t="s">
        <v>37</v>
      </c>
      <c r="H102" s="21" t="s">
        <v>34</v>
      </c>
      <c r="I102" s="21" t="str">
        <f t="shared" si="0"/>
        <v>0x49</v>
      </c>
      <c r="J102" s="20" t="str">
        <f t="shared" si="1"/>
        <v>49</v>
      </c>
      <c r="K102" s="37"/>
      <c r="L102" s="37"/>
    </row>
    <row r="103" spans="1:12" s="20" customFormat="1" x14ac:dyDescent="0.25">
      <c r="A103" s="31" t="s">
        <v>93</v>
      </c>
      <c r="B103" s="55" t="s">
        <v>70</v>
      </c>
      <c r="C103" s="32"/>
      <c r="D103" s="21" t="s">
        <v>91</v>
      </c>
      <c r="E103" s="21" t="s">
        <v>36</v>
      </c>
      <c r="F103" s="21" t="s">
        <v>114</v>
      </c>
      <c r="G103" s="24" t="s">
        <v>39</v>
      </c>
      <c r="H103" s="21" t="s">
        <v>34</v>
      </c>
      <c r="I103" s="21" t="str">
        <f t="shared" si="0"/>
        <v>0x03</v>
      </c>
      <c r="J103" s="20" t="str">
        <f t="shared" si="1"/>
        <v>3</v>
      </c>
      <c r="K103" s="37"/>
      <c r="L103" s="37"/>
    </row>
    <row r="104" spans="1:12" s="20" customFormat="1" x14ac:dyDescent="0.25">
      <c r="A104" s="31" t="s">
        <v>93</v>
      </c>
      <c r="B104" s="55" t="s">
        <v>71</v>
      </c>
      <c r="C104" s="32"/>
      <c r="D104" s="21" t="s">
        <v>91</v>
      </c>
      <c r="E104" s="21" t="s">
        <v>36</v>
      </c>
      <c r="F104" s="21" t="s">
        <v>113</v>
      </c>
      <c r="G104" s="22" t="s">
        <v>37</v>
      </c>
      <c r="H104" s="21" t="s">
        <v>34</v>
      </c>
      <c r="I104" s="21" t="str">
        <f t="shared" si="0"/>
        <v>0x24</v>
      </c>
      <c r="J104" s="20" t="str">
        <f t="shared" si="1"/>
        <v>24</v>
      </c>
      <c r="K104" s="37"/>
      <c r="L104" s="37"/>
    </row>
    <row r="105" spans="1:12" s="20" customFormat="1" x14ac:dyDescent="0.25">
      <c r="A105" s="31" t="s">
        <v>93</v>
      </c>
      <c r="B105" s="55" t="s">
        <v>71</v>
      </c>
      <c r="C105" s="32"/>
      <c r="D105" s="21" t="s">
        <v>91</v>
      </c>
      <c r="E105" s="21" t="s">
        <v>36</v>
      </c>
      <c r="F105" s="21" t="s">
        <v>113</v>
      </c>
      <c r="G105" s="24" t="s">
        <v>39</v>
      </c>
      <c r="H105" s="21" t="s">
        <v>34</v>
      </c>
      <c r="I105" s="21" t="str">
        <f t="shared" si="0"/>
        <v>0x00</v>
      </c>
      <c r="J105" s="20" t="str">
        <f t="shared" si="1"/>
        <v>0</v>
      </c>
      <c r="K105" s="37"/>
      <c r="L105" s="37"/>
    </row>
    <row r="106" spans="1:12" s="20" customFormat="1" x14ac:dyDescent="0.25">
      <c r="A106" s="31" t="s">
        <v>93</v>
      </c>
      <c r="B106" s="55" t="s">
        <v>72</v>
      </c>
      <c r="C106" s="32"/>
      <c r="D106" s="21" t="s">
        <v>91</v>
      </c>
      <c r="E106" s="21" t="s">
        <v>36</v>
      </c>
      <c r="F106" s="21" t="s">
        <v>99</v>
      </c>
      <c r="G106" s="22" t="s">
        <v>37</v>
      </c>
      <c r="H106" s="21" t="s">
        <v>34</v>
      </c>
      <c r="I106" s="21" t="str">
        <f t="shared" si="0"/>
        <v>0x03</v>
      </c>
      <c r="J106" s="20" t="str">
        <f t="shared" si="1"/>
        <v>3</v>
      </c>
      <c r="K106" s="37"/>
      <c r="L106" s="37"/>
    </row>
    <row r="107" spans="1:12" s="20" customFormat="1" x14ac:dyDescent="0.25">
      <c r="A107" s="31" t="s">
        <v>93</v>
      </c>
      <c r="B107" s="55" t="s">
        <v>72</v>
      </c>
      <c r="C107" s="32"/>
      <c r="D107" s="21" t="s">
        <v>91</v>
      </c>
      <c r="E107" s="21" t="s">
        <v>36</v>
      </c>
      <c r="F107" s="21" t="s">
        <v>42</v>
      </c>
      <c r="G107" s="24" t="s">
        <v>39</v>
      </c>
      <c r="H107" s="21" t="s">
        <v>34</v>
      </c>
      <c r="I107" s="21" t="str">
        <f t="shared" si="0"/>
        <v>0x02</v>
      </c>
      <c r="J107" s="20" t="str">
        <f t="shared" si="1"/>
        <v>2</v>
      </c>
      <c r="K107" s="37"/>
      <c r="L107" s="37"/>
    </row>
    <row r="108" spans="1:12" s="20" customFormat="1" x14ac:dyDescent="0.25">
      <c r="A108" s="31" t="s">
        <v>93</v>
      </c>
      <c r="B108" s="32" t="s">
        <v>73</v>
      </c>
      <c r="C108" s="32" t="s">
        <v>52</v>
      </c>
      <c r="D108" s="21" t="s">
        <v>91</v>
      </c>
      <c r="E108" s="21" t="s">
        <v>36</v>
      </c>
      <c r="F108" s="21" t="s">
        <v>75</v>
      </c>
      <c r="G108" s="22" t="s">
        <v>37</v>
      </c>
      <c r="H108" s="21" t="s">
        <v>34</v>
      </c>
      <c r="I108" s="21" t="str">
        <f t="shared" si="0"/>
        <v>0x00</v>
      </c>
      <c r="J108" s="20" t="str">
        <f>J84</f>
        <v>0</v>
      </c>
      <c r="K108" s="37"/>
      <c r="L108" s="37"/>
    </row>
    <row r="109" spans="1:12" s="20" customFormat="1" x14ac:dyDescent="0.25">
      <c r="A109" s="31" t="s">
        <v>93</v>
      </c>
      <c r="B109" s="32" t="s">
        <v>73</v>
      </c>
      <c r="C109" s="32"/>
      <c r="D109" s="21" t="s">
        <v>91</v>
      </c>
      <c r="E109" s="21" t="s">
        <v>36</v>
      </c>
      <c r="F109" s="21" t="s">
        <v>75</v>
      </c>
      <c r="G109" s="24" t="s">
        <v>39</v>
      </c>
      <c r="H109" s="21" t="s">
        <v>34</v>
      </c>
      <c r="I109" s="21" t="str">
        <f t="shared" si="0"/>
        <v>0x00</v>
      </c>
      <c r="J109" s="20" t="str">
        <f t="shared" ref="J109:J111" si="2">J85</f>
        <v>0</v>
      </c>
      <c r="K109" s="37"/>
      <c r="L109" s="37"/>
    </row>
    <row r="110" spans="1:12" s="20" customFormat="1" x14ac:dyDescent="0.25">
      <c r="A110" s="31" t="s">
        <v>93</v>
      </c>
      <c r="B110" s="32" t="s">
        <v>74</v>
      </c>
      <c r="C110" s="32" t="s">
        <v>52</v>
      </c>
      <c r="D110" s="21" t="s">
        <v>91</v>
      </c>
      <c r="E110" s="21" t="s">
        <v>36</v>
      </c>
      <c r="F110" s="21" t="s">
        <v>44</v>
      </c>
      <c r="G110" s="22" t="s">
        <v>37</v>
      </c>
      <c r="H110" s="21" t="s">
        <v>34</v>
      </c>
      <c r="I110" s="21" t="str">
        <f t="shared" si="0"/>
        <v>0x3D</v>
      </c>
      <c r="J110" s="20" t="str">
        <f t="shared" si="2"/>
        <v>3D</v>
      </c>
      <c r="K110" s="37"/>
      <c r="L110" s="37"/>
    </row>
    <row r="111" spans="1:12" s="20" customFormat="1" x14ac:dyDescent="0.25">
      <c r="A111" s="31" t="s">
        <v>93</v>
      </c>
      <c r="B111" s="32" t="s">
        <v>74</v>
      </c>
      <c r="C111" s="32"/>
      <c r="D111" s="21" t="s">
        <v>91</v>
      </c>
      <c r="E111" s="21" t="s">
        <v>36</v>
      </c>
      <c r="F111" s="21" t="s">
        <v>44</v>
      </c>
      <c r="G111" s="24" t="s">
        <v>39</v>
      </c>
      <c r="H111" s="21" t="s">
        <v>34</v>
      </c>
      <c r="I111" s="21" t="str">
        <f t="shared" si="0"/>
        <v>0x00</v>
      </c>
      <c r="J111" s="20" t="str">
        <f t="shared" si="2"/>
        <v>0</v>
      </c>
      <c r="K111" s="37"/>
      <c r="L111" s="37"/>
    </row>
    <row r="112" spans="1:12" s="20" customFormat="1" x14ac:dyDescent="0.25">
      <c r="A112" s="31" t="s">
        <v>93</v>
      </c>
      <c r="B112" s="32" t="s">
        <v>76</v>
      </c>
      <c r="C112" s="32" t="s">
        <v>52</v>
      </c>
      <c r="D112" s="21" t="s">
        <v>91</v>
      </c>
      <c r="E112" s="21" t="s">
        <v>36</v>
      </c>
      <c r="F112" s="21" t="s">
        <v>80</v>
      </c>
      <c r="G112" s="22" t="s">
        <v>37</v>
      </c>
      <c r="H112" s="21" t="s">
        <v>34</v>
      </c>
      <c r="I112" s="21" t="str">
        <f t="shared" si="0"/>
        <v>0x7A</v>
      </c>
      <c r="J112" s="20" t="str">
        <f>J92</f>
        <v>7A</v>
      </c>
      <c r="K112" s="37"/>
      <c r="L112" s="37"/>
    </row>
    <row r="113" spans="1:12" s="20" customFormat="1" x14ac:dyDescent="0.25">
      <c r="A113" s="31" t="s">
        <v>93</v>
      </c>
      <c r="B113" s="32" t="s">
        <v>76</v>
      </c>
      <c r="C113" s="32"/>
      <c r="D113" s="21" t="s">
        <v>91</v>
      </c>
      <c r="E113" s="21" t="s">
        <v>36</v>
      </c>
      <c r="F113" s="21" t="s">
        <v>80</v>
      </c>
      <c r="G113" s="24" t="s">
        <v>39</v>
      </c>
      <c r="H113" s="21" t="s">
        <v>34</v>
      </c>
      <c r="I113" s="21" t="str">
        <f t="shared" si="0"/>
        <v>0x00</v>
      </c>
      <c r="J113" s="20" t="str">
        <f t="shared" ref="J113:J119" si="3">J93</f>
        <v>0</v>
      </c>
      <c r="K113" s="37"/>
      <c r="L113" s="37"/>
    </row>
    <row r="114" spans="1:12" s="20" customFormat="1" x14ac:dyDescent="0.25">
      <c r="A114" s="31" t="s">
        <v>93</v>
      </c>
      <c r="B114" s="32" t="s">
        <v>77</v>
      </c>
      <c r="C114" s="32" t="s">
        <v>52</v>
      </c>
      <c r="D114" s="21" t="s">
        <v>91</v>
      </c>
      <c r="E114" s="21" t="s">
        <v>36</v>
      </c>
      <c r="F114" s="21" t="s">
        <v>81</v>
      </c>
      <c r="G114" s="22" t="s">
        <v>37</v>
      </c>
      <c r="H114" s="21" t="s">
        <v>34</v>
      </c>
      <c r="I114" s="21" t="str">
        <f t="shared" si="0"/>
        <v>0x49</v>
      </c>
      <c r="J114" s="20" t="str">
        <f t="shared" si="3"/>
        <v>49</v>
      </c>
      <c r="K114" s="37"/>
      <c r="L114" s="37"/>
    </row>
    <row r="115" spans="1:12" s="20" customFormat="1" x14ac:dyDescent="0.25">
      <c r="A115" s="31" t="s">
        <v>93</v>
      </c>
      <c r="B115" s="32" t="s">
        <v>77</v>
      </c>
      <c r="C115" s="32"/>
      <c r="D115" s="21" t="s">
        <v>91</v>
      </c>
      <c r="E115" s="21" t="s">
        <v>36</v>
      </c>
      <c r="F115" s="21" t="s">
        <v>81</v>
      </c>
      <c r="G115" s="24" t="s">
        <v>39</v>
      </c>
      <c r="H115" s="21" t="s">
        <v>34</v>
      </c>
      <c r="I115" s="21" t="str">
        <f t="shared" si="0"/>
        <v>0x03</v>
      </c>
      <c r="J115" s="20" t="str">
        <f t="shared" si="3"/>
        <v>3</v>
      </c>
      <c r="K115" s="37"/>
      <c r="L115" s="37"/>
    </row>
    <row r="116" spans="1:12" s="20" customFormat="1" x14ac:dyDescent="0.25">
      <c r="A116" s="31" t="s">
        <v>93</v>
      </c>
      <c r="B116" s="32" t="s">
        <v>78</v>
      </c>
      <c r="C116" s="32" t="s">
        <v>52</v>
      </c>
      <c r="D116" s="21" t="s">
        <v>91</v>
      </c>
      <c r="E116" s="21" t="s">
        <v>36</v>
      </c>
      <c r="F116" s="21" t="s">
        <v>82</v>
      </c>
      <c r="G116" s="22" t="s">
        <v>37</v>
      </c>
      <c r="H116" s="21" t="s">
        <v>34</v>
      </c>
      <c r="I116" s="21" t="str">
        <f t="shared" si="0"/>
        <v>0x24</v>
      </c>
      <c r="J116" s="20" t="str">
        <f t="shared" si="3"/>
        <v>24</v>
      </c>
      <c r="K116" s="37"/>
      <c r="L116" s="37"/>
    </row>
    <row r="117" spans="1:12" s="20" customFormat="1" x14ac:dyDescent="0.25">
      <c r="A117" s="31" t="s">
        <v>93</v>
      </c>
      <c r="B117" s="32" t="s">
        <v>78</v>
      </c>
      <c r="C117" s="32"/>
      <c r="D117" s="21" t="s">
        <v>91</v>
      </c>
      <c r="E117" s="21" t="s">
        <v>36</v>
      </c>
      <c r="F117" s="21" t="s">
        <v>64</v>
      </c>
      <c r="G117" s="24" t="s">
        <v>39</v>
      </c>
      <c r="H117" s="21" t="s">
        <v>34</v>
      </c>
      <c r="I117" s="21" t="str">
        <f t="shared" si="0"/>
        <v>0x00</v>
      </c>
      <c r="J117" s="20" t="str">
        <f t="shared" si="3"/>
        <v>0</v>
      </c>
      <c r="K117" s="37"/>
      <c r="L117" s="37"/>
    </row>
    <row r="118" spans="1:12" s="20" customFormat="1" x14ac:dyDescent="0.25">
      <c r="A118" s="31" t="s">
        <v>93</v>
      </c>
      <c r="B118" s="32" t="s">
        <v>79</v>
      </c>
      <c r="C118" s="32" t="s">
        <v>52</v>
      </c>
      <c r="D118" s="21" t="s">
        <v>91</v>
      </c>
      <c r="E118" s="21" t="s">
        <v>36</v>
      </c>
      <c r="F118" s="21" t="s">
        <v>112</v>
      </c>
      <c r="G118" s="22" t="s">
        <v>37</v>
      </c>
      <c r="H118" s="21" t="s">
        <v>34</v>
      </c>
      <c r="I118" s="21" t="str">
        <f t="shared" si="0"/>
        <v>0x03</v>
      </c>
      <c r="J118" s="20" t="str">
        <f t="shared" si="3"/>
        <v>3</v>
      </c>
      <c r="K118" s="37"/>
      <c r="L118" s="37"/>
    </row>
    <row r="119" spans="1:12" s="20" customFormat="1" x14ac:dyDescent="0.25">
      <c r="A119" s="31" t="s">
        <v>93</v>
      </c>
      <c r="B119" s="32" t="s">
        <v>79</v>
      </c>
      <c r="C119" s="32"/>
      <c r="D119" s="21" t="s">
        <v>91</v>
      </c>
      <c r="E119" s="21" t="s">
        <v>36</v>
      </c>
      <c r="F119" s="21" t="s">
        <v>112</v>
      </c>
      <c r="G119" s="24" t="s">
        <v>39</v>
      </c>
      <c r="H119" s="21" t="s">
        <v>34</v>
      </c>
      <c r="I119" s="21" t="str">
        <f t="shared" si="0"/>
        <v>0x02</v>
      </c>
      <c r="J119" s="20" t="str">
        <f t="shared" si="3"/>
        <v>2</v>
      </c>
      <c r="K119" s="37"/>
      <c r="L119" s="37"/>
    </row>
    <row r="120" spans="1:12" s="20" customFormat="1" x14ac:dyDescent="0.25">
      <c r="A120" s="31" t="s">
        <v>93</v>
      </c>
      <c r="B120" s="32" t="s">
        <v>96</v>
      </c>
      <c r="C120" s="32"/>
      <c r="D120" s="21" t="s">
        <v>91</v>
      </c>
      <c r="E120" s="21" t="s">
        <v>36</v>
      </c>
      <c r="F120" s="21" t="s">
        <v>45</v>
      </c>
      <c r="G120" s="22" t="s">
        <v>37</v>
      </c>
      <c r="H120" s="21" t="s">
        <v>34</v>
      </c>
      <c r="I120" s="21" t="s">
        <v>97</v>
      </c>
      <c r="K120" s="37"/>
      <c r="L120" s="37"/>
    </row>
    <row r="121" spans="1:12" s="20" customFormat="1" x14ac:dyDescent="0.25">
      <c r="A121" s="31" t="s">
        <v>93</v>
      </c>
      <c r="B121" s="32" t="s">
        <v>96</v>
      </c>
      <c r="C121" s="32"/>
      <c r="D121" s="21" t="s">
        <v>91</v>
      </c>
      <c r="E121" s="21" t="s">
        <v>36</v>
      </c>
      <c r="F121" s="21" t="s">
        <v>45</v>
      </c>
      <c r="G121" s="24" t="s">
        <v>39</v>
      </c>
      <c r="H121" s="21" t="s">
        <v>34</v>
      </c>
      <c r="I121" s="21" t="s">
        <v>98</v>
      </c>
      <c r="K121" s="37"/>
      <c r="L121" s="37"/>
    </row>
    <row r="122" spans="1:12" s="20" customFormat="1" x14ac:dyDescent="0.25">
      <c r="A122" s="31" t="s">
        <v>94</v>
      </c>
      <c r="B122" s="55" t="s">
        <v>95</v>
      </c>
      <c r="C122" s="32"/>
      <c r="D122" s="21" t="s">
        <v>90</v>
      </c>
      <c r="E122" s="21" t="s">
        <v>36</v>
      </c>
      <c r="F122" s="21" t="s">
        <v>63</v>
      </c>
      <c r="G122" s="22" t="s">
        <v>37</v>
      </c>
      <c r="H122" s="21" t="s">
        <v>34</v>
      </c>
      <c r="I122" s="21" t="s">
        <v>38</v>
      </c>
      <c r="K122" s="37"/>
      <c r="L122" s="37"/>
    </row>
    <row r="123" spans="1:12" s="20" customFormat="1" x14ac:dyDescent="0.25">
      <c r="A123" s="31" t="s">
        <v>93</v>
      </c>
      <c r="B123" s="55" t="s">
        <v>83</v>
      </c>
      <c r="C123" s="32" t="s">
        <v>84</v>
      </c>
      <c r="D123" s="21" t="s">
        <v>90</v>
      </c>
      <c r="E123" s="21" t="s">
        <v>36</v>
      </c>
      <c r="F123" s="21" t="s">
        <v>38</v>
      </c>
      <c r="G123" s="22" t="s">
        <v>37</v>
      </c>
      <c r="H123" s="21" t="s">
        <v>34</v>
      </c>
      <c r="I123" s="21" t="s">
        <v>38</v>
      </c>
      <c r="K123" s="37"/>
      <c r="L123" s="37"/>
    </row>
    <row r="124" spans="1:12" ht="30" x14ac:dyDescent="0.25">
      <c r="A124" s="50"/>
      <c r="B124" s="51"/>
      <c r="C124" s="52"/>
      <c r="D124" s="80" t="s">
        <v>18</v>
      </c>
      <c r="E124" s="80"/>
      <c r="F124" s="80"/>
      <c r="G124" s="80"/>
      <c r="H124" s="53"/>
      <c r="I124" s="54"/>
      <c r="K124" s="20"/>
      <c r="L124" s="20"/>
    </row>
    <row r="125" spans="1:12" x14ac:dyDescent="0.25">
      <c r="A125" s="20"/>
      <c r="B125" s="44"/>
      <c r="C125" s="20"/>
      <c r="D125" s="20"/>
      <c r="E125" s="20"/>
      <c r="F125" s="30"/>
      <c r="G125" s="30"/>
      <c r="H125" s="30"/>
      <c r="I125" s="39"/>
    </row>
  </sheetData>
  <protectedRanges>
    <protectedRange password="EBC5" sqref="I26:I75" name="範圍1_3_3_1_1_1_2_1_1_2_4"/>
    <protectedRange password="EBC5" sqref="I122:I123 I76:I77 I3:I10 I15:I23" name="範圍1_3_3_1_1_1_2_1_1_2_2_1"/>
    <protectedRange password="EBC5" sqref="I120:I121" name="範圍1_3_3_1_1_1_2_1_1_2_1_2_2"/>
    <protectedRange password="EBC5" sqref="I80:I119" name="範圍1_3_3_1_1_1_2_1_1_2_1_2_1_1"/>
  </protectedRanges>
  <mergeCells count="9">
    <mergeCell ref="L86:P86"/>
    <mergeCell ref="L87:P87"/>
    <mergeCell ref="D124:G124"/>
    <mergeCell ref="A24:C24"/>
    <mergeCell ref="A13:C13"/>
    <mergeCell ref="A1:C1"/>
    <mergeCell ref="A78:C78"/>
    <mergeCell ref="L80:P80"/>
    <mergeCell ref="L83:P83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rgb="FFFFFF00"/>
  </sheetPr>
  <dimension ref="A1:U125"/>
  <sheetViews>
    <sheetView tabSelected="1" zoomScale="115" zoomScaleNormal="115" workbookViewId="0">
      <selection activeCell="B11" sqref="B11"/>
    </sheetView>
  </sheetViews>
  <sheetFormatPr defaultRowHeight="16.5" x14ac:dyDescent="0.25"/>
  <cols>
    <col min="1" max="1" width="24.125" customWidth="1"/>
    <col min="2" max="2" width="30.75" style="45" customWidth="1"/>
    <col min="3" max="3" width="24.625" customWidth="1"/>
    <col min="4" max="4" width="13.625" bestFit="1" customWidth="1"/>
    <col min="6" max="8" width="9" style="23"/>
    <col min="9" max="9" width="10.75" style="40" customWidth="1"/>
    <col min="10" max="10" width="5.25" style="37" customWidth="1"/>
    <col min="11" max="11" width="7.25" style="37" customWidth="1"/>
    <col min="12" max="12" width="8.25" style="37" customWidth="1"/>
    <col min="13" max="21" width="9" style="20"/>
  </cols>
  <sheetData>
    <row r="1" spans="1:12" ht="27" x14ac:dyDescent="0.25">
      <c r="A1" s="77" t="s">
        <v>200</v>
      </c>
      <c r="B1" s="77"/>
      <c r="C1" s="77"/>
      <c r="D1" s="46"/>
      <c r="E1" s="47"/>
      <c r="F1" s="48"/>
      <c r="G1" s="48"/>
      <c r="H1" s="49"/>
      <c r="I1" s="13" t="s">
        <v>28</v>
      </c>
    </row>
    <row r="2" spans="1:12" x14ac:dyDescent="0.25">
      <c r="A2" s="14" t="s">
        <v>10</v>
      </c>
      <c r="B2" s="43" t="s">
        <v>11</v>
      </c>
      <c r="C2" s="15" t="s">
        <v>12</v>
      </c>
      <c r="D2" s="16" t="s">
        <v>13</v>
      </c>
      <c r="E2" s="17" t="s">
        <v>14</v>
      </c>
      <c r="F2" s="16" t="s">
        <v>15</v>
      </c>
      <c r="G2" s="16" t="s">
        <v>16</v>
      </c>
      <c r="H2" s="18" t="s">
        <v>17</v>
      </c>
      <c r="I2" s="19" t="s">
        <v>29</v>
      </c>
    </row>
    <row r="3" spans="1:12" s="20" customFormat="1" x14ac:dyDescent="0.25">
      <c r="A3" s="31" t="s">
        <v>66</v>
      </c>
      <c r="B3" s="55"/>
      <c r="C3" s="32"/>
      <c r="D3" s="21" t="s">
        <v>65</v>
      </c>
      <c r="E3" s="21" t="s">
        <v>36</v>
      </c>
      <c r="F3" s="21" t="s">
        <v>123</v>
      </c>
      <c r="G3" s="22" t="s">
        <v>37</v>
      </c>
      <c r="H3" s="21" t="s">
        <v>209</v>
      </c>
      <c r="I3" s="21" t="s">
        <v>136</v>
      </c>
      <c r="K3" s="37"/>
      <c r="L3" s="37"/>
    </row>
    <row r="4" spans="1:12" s="20" customFormat="1" x14ac:dyDescent="0.25">
      <c r="A4" s="31" t="s">
        <v>66</v>
      </c>
      <c r="B4" s="55"/>
      <c r="C4" s="32"/>
      <c r="D4" s="21" t="s">
        <v>65</v>
      </c>
      <c r="E4" s="21" t="s">
        <v>36</v>
      </c>
      <c r="F4" s="21" t="s">
        <v>124</v>
      </c>
      <c r="G4" s="22" t="s">
        <v>37</v>
      </c>
      <c r="H4" s="21" t="s">
        <v>209</v>
      </c>
      <c r="I4" s="21" t="s">
        <v>136</v>
      </c>
      <c r="K4" s="37"/>
      <c r="L4" s="37"/>
    </row>
    <row r="5" spans="1:12" s="20" customFormat="1" x14ac:dyDescent="0.25">
      <c r="A5" s="56" t="s">
        <v>66</v>
      </c>
      <c r="B5" s="57"/>
      <c r="C5" s="58"/>
      <c r="D5" s="59" t="s">
        <v>65</v>
      </c>
      <c r="E5" s="59" t="s">
        <v>36</v>
      </c>
      <c r="F5" s="59" t="s">
        <v>125</v>
      </c>
      <c r="G5" s="60" t="s">
        <v>37</v>
      </c>
      <c r="H5" s="59" t="s">
        <v>34</v>
      </c>
      <c r="I5" s="59" t="s">
        <v>137</v>
      </c>
      <c r="K5" s="37"/>
      <c r="L5" s="37"/>
    </row>
    <row r="6" spans="1:12" s="20" customFormat="1" x14ac:dyDescent="0.25">
      <c r="A6" s="31" t="s">
        <v>66</v>
      </c>
      <c r="B6" s="55"/>
      <c r="C6" s="32"/>
      <c r="D6" s="21" t="s">
        <v>65</v>
      </c>
      <c r="E6" s="21" t="s">
        <v>36</v>
      </c>
      <c r="F6" s="21" t="s">
        <v>126</v>
      </c>
      <c r="G6" s="22" t="s">
        <v>37</v>
      </c>
      <c r="H6" s="21" t="s">
        <v>34</v>
      </c>
      <c r="I6" s="21" t="s">
        <v>127</v>
      </c>
      <c r="K6" s="37"/>
      <c r="L6" s="37"/>
    </row>
    <row r="7" spans="1:12" s="20" customFormat="1" x14ac:dyDescent="0.25">
      <c r="A7" s="31" t="s">
        <v>66</v>
      </c>
      <c r="B7" s="55"/>
      <c r="C7" s="32"/>
      <c r="D7" s="21" t="s">
        <v>65</v>
      </c>
      <c r="E7" s="21" t="s">
        <v>36</v>
      </c>
      <c r="F7" s="21" t="s">
        <v>127</v>
      </c>
      <c r="G7" s="22" t="s">
        <v>37</v>
      </c>
      <c r="H7" s="21" t="s">
        <v>211</v>
      </c>
      <c r="I7" s="21" t="s">
        <v>127</v>
      </c>
      <c r="K7" s="37"/>
      <c r="L7" s="37"/>
    </row>
    <row r="8" spans="1:12" s="20" customFormat="1" x14ac:dyDescent="0.25">
      <c r="A8" s="31" t="s">
        <v>66</v>
      </c>
      <c r="B8" s="55"/>
      <c r="C8" s="55"/>
      <c r="D8" s="21" t="s">
        <v>65</v>
      </c>
      <c r="E8" s="21" t="s">
        <v>36</v>
      </c>
      <c r="F8" s="21" t="s">
        <v>128</v>
      </c>
      <c r="G8" s="22" t="s">
        <v>37</v>
      </c>
      <c r="H8" s="21" t="s">
        <v>34</v>
      </c>
      <c r="I8" s="21" t="s">
        <v>127</v>
      </c>
      <c r="K8" s="37"/>
      <c r="L8" s="37"/>
    </row>
    <row r="9" spans="1:12" s="20" customFormat="1" x14ac:dyDescent="0.25">
      <c r="A9" s="31" t="s">
        <v>66</v>
      </c>
      <c r="B9" s="55"/>
      <c r="C9" s="32"/>
      <c r="D9" s="21" t="s">
        <v>65</v>
      </c>
      <c r="E9" s="21" t="s">
        <v>36</v>
      </c>
      <c r="F9" s="21" t="s">
        <v>129</v>
      </c>
      <c r="G9" s="22" t="s">
        <v>37</v>
      </c>
      <c r="H9" s="21" t="s">
        <v>34</v>
      </c>
      <c r="I9" s="21" t="s">
        <v>137</v>
      </c>
      <c r="K9" s="37"/>
      <c r="L9" s="37"/>
    </row>
    <row r="10" spans="1:12" s="20" customFormat="1" x14ac:dyDescent="0.25">
      <c r="A10" s="31" t="s">
        <v>66</v>
      </c>
      <c r="B10" s="55"/>
      <c r="C10" s="32"/>
      <c r="D10" s="21" t="s">
        <v>65</v>
      </c>
      <c r="E10" s="21" t="s">
        <v>36</v>
      </c>
      <c r="F10" s="21" t="s">
        <v>130</v>
      </c>
      <c r="G10" s="22" t="s">
        <v>37</v>
      </c>
      <c r="H10" s="21" t="s">
        <v>34</v>
      </c>
      <c r="I10" s="21" t="s">
        <v>138</v>
      </c>
      <c r="K10" s="37"/>
      <c r="L10" s="37"/>
    </row>
    <row r="13" spans="1:12" ht="27" x14ac:dyDescent="0.25">
      <c r="A13" s="77" t="s">
        <v>202</v>
      </c>
      <c r="B13" s="77"/>
      <c r="C13" s="77"/>
      <c r="D13" s="46"/>
      <c r="E13" s="47"/>
      <c r="F13" s="48"/>
      <c r="G13" s="48"/>
      <c r="H13" s="49"/>
      <c r="I13" s="13" t="s">
        <v>28</v>
      </c>
    </row>
    <row r="14" spans="1:12" x14ac:dyDescent="0.25">
      <c r="A14" s="14" t="s">
        <v>10</v>
      </c>
      <c r="B14" s="43" t="s">
        <v>11</v>
      </c>
      <c r="C14" s="15" t="s">
        <v>12</v>
      </c>
      <c r="D14" s="16" t="s">
        <v>13</v>
      </c>
      <c r="E14" s="17" t="s">
        <v>14</v>
      </c>
      <c r="F14" s="16" t="s">
        <v>15</v>
      </c>
      <c r="G14" s="16" t="s">
        <v>16</v>
      </c>
      <c r="H14" s="18" t="s">
        <v>17</v>
      </c>
      <c r="I14" s="19" t="s">
        <v>29</v>
      </c>
    </row>
    <row r="15" spans="1:12" s="20" customFormat="1" x14ac:dyDescent="0.25">
      <c r="A15" s="31"/>
      <c r="B15" s="55"/>
      <c r="C15" s="32"/>
      <c r="D15" s="21" t="s">
        <v>188</v>
      </c>
      <c r="E15" s="21" t="s">
        <v>36</v>
      </c>
      <c r="F15" s="21" t="s">
        <v>131</v>
      </c>
      <c r="G15" s="22" t="s">
        <v>37</v>
      </c>
      <c r="H15" s="21" t="s">
        <v>34</v>
      </c>
      <c r="I15" s="21" t="s">
        <v>212</v>
      </c>
      <c r="K15" s="37"/>
      <c r="L15" s="37"/>
    </row>
    <row r="16" spans="1:12" s="20" customFormat="1" x14ac:dyDescent="0.25">
      <c r="A16" s="56"/>
      <c r="B16" s="55"/>
      <c r="C16" s="32"/>
      <c r="D16" s="21" t="s">
        <v>188</v>
      </c>
      <c r="E16" s="59" t="s">
        <v>36</v>
      </c>
      <c r="F16" s="21" t="s">
        <v>131</v>
      </c>
      <c r="G16" s="74" t="s">
        <v>142</v>
      </c>
      <c r="H16" s="59" t="s">
        <v>34</v>
      </c>
      <c r="I16" s="21" t="s">
        <v>213</v>
      </c>
      <c r="K16" s="37"/>
      <c r="L16" s="37"/>
    </row>
    <row r="17" spans="1:12" s="20" customFormat="1" x14ac:dyDescent="0.25">
      <c r="A17" s="31"/>
      <c r="B17" s="55"/>
      <c r="C17" s="32"/>
      <c r="D17" s="21" t="s">
        <v>188</v>
      </c>
      <c r="E17" s="21" t="s">
        <v>36</v>
      </c>
      <c r="F17" s="21" t="s">
        <v>132</v>
      </c>
      <c r="G17" s="22" t="s">
        <v>37</v>
      </c>
      <c r="H17" s="21" t="s">
        <v>34</v>
      </c>
      <c r="I17" s="21" t="s">
        <v>214</v>
      </c>
      <c r="K17" s="37"/>
      <c r="L17" s="37"/>
    </row>
    <row r="18" spans="1:12" s="20" customFormat="1" x14ac:dyDescent="0.25">
      <c r="A18" s="31"/>
      <c r="B18" s="55"/>
      <c r="C18" s="32"/>
      <c r="D18" s="21" t="s">
        <v>188</v>
      </c>
      <c r="E18" s="21" t="s">
        <v>36</v>
      </c>
      <c r="F18" s="21" t="s">
        <v>133</v>
      </c>
      <c r="G18" s="22" t="s">
        <v>37</v>
      </c>
      <c r="H18" s="21" t="s">
        <v>34</v>
      </c>
      <c r="I18" s="21" t="s">
        <v>139</v>
      </c>
      <c r="K18" s="37"/>
      <c r="L18" s="37"/>
    </row>
    <row r="19" spans="1:12" s="20" customFormat="1" x14ac:dyDescent="0.25">
      <c r="A19" s="31"/>
      <c r="B19" s="55"/>
      <c r="C19" s="32"/>
      <c r="D19" s="21" t="s">
        <v>188</v>
      </c>
      <c r="E19" s="21" t="s">
        <v>36</v>
      </c>
      <c r="F19" s="21" t="s">
        <v>133</v>
      </c>
      <c r="G19" s="73" t="s">
        <v>142</v>
      </c>
      <c r="H19" s="21" t="s">
        <v>34</v>
      </c>
      <c r="I19" s="21" t="s">
        <v>215</v>
      </c>
      <c r="K19" s="37"/>
      <c r="L19" s="37"/>
    </row>
    <row r="20" spans="1:12" s="20" customFormat="1" x14ac:dyDescent="0.25">
      <c r="A20" s="31"/>
      <c r="B20" s="55"/>
      <c r="C20" s="32"/>
      <c r="D20" s="21" t="s">
        <v>188</v>
      </c>
      <c r="E20" s="59" t="s">
        <v>36</v>
      </c>
      <c r="F20" s="21" t="s">
        <v>216</v>
      </c>
      <c r="G20" s="22" t="s">
        <v>37</v>
      </c>
      <c r="H20" s="21" t="s">
        <v>34</v>
      </c>
      <c r="I20" s="21" t="s">
        <v>219</v>
      </c>
      <c r="K20" s="37"/>
      <c r="L20" s="37"/>
    </row>
    <row r="21" spans="1:12" s="20" customFormat="1" x14ac:dyDescent="0.25">
      <c r="A21" s="31"/>
      <c r="B21" s="55"/>
      <c r="C21" s="32"/>
      <c r="D21" s="21" t="s">
        <v>188</v>
      </c>
      <c r="E21" s="21" t="s">
        <v>36</v>
      </c>
      <c r="F21" s="21" t="s">
        <v>217</v>
      </c>
      <c r="G21" s="73" t="s">
        <v>142</v>
      </c>
      <c r="H21" s="21" t="s">
        <v>34</v>
      </c>
      <c r="I21" s="21" t="s">
        <v>218</v>
      </c>
      <c r="K21" s="37"/>
      <c r="L21" s="37"/>
    </row>
    <row r="22" spans="1:12" s="20" customFormat="1" x14ac:dyDescent="0.25">
      <c r="A22" s="63"/>
      <c r="B22" s="64"/>
      <c r="C22" s="65"/>
      <c r="D22" s="66"/>
      <c r="E22" s="66"/>
      <c r="F22" s="66"/>
      <c r="G22" s="67"/>
      <c r="H22" s="66"/>
      <c r="I22" s="66"/>
      <c r="K22" s="37"/>
      <c r="L22" s="37"/>
    </row>
    <row r="23" spans="1:12" s="20" customFormat="1" x14ac:dyDescent="0.25">
      <c r="A23" s="63"/>
      <c r="B23" s="64"/>
      <c r="C23" s="65"/>
      <c r="D23" s="66"/>
      <c r="E23" s="66"/>
      <c r="F23" s="66"/>
      <c r="G23" s="67"/>
      <c r="H23" s="66"/>
      <c r="I23" s="66"/>
      <c r="K23" s="37"/>
      <c r="L23" s="37"/>
    </row>
    <row r="24" spans="1:12" s="20" customFormat="1" ht="27" x14ac:dyDescent="0.25">
      <c r="A24" s="77" t="s">
        <v>204</v>
      </c>
      <c r="B24" s="77"/>
      <c r="C24" s="77"/>
      <c r="D24" s="46"/>
      <c r="E24" s="47"/>
      <c r="F24" s="48"/>
      <c r="G24" s="48"/>
      <c r="H24" s="49"/>
      <c r="I24" s="13" t="s">
        <v>28</v>
      </c>
      <c r="K24" s="37"/>
      <c r="L24" s="37"/>
    </row>
    <row r="25" spans="1:12" s="20" customFormat="1" x14ac:dyDescent="0.25">
      <c r="A25" s="14" t="s">
        <v>10</v>
      </c>
      <c r="B25" s="43" t="s">
        <v>11</v>
      </c>
      <c r="C25" s="15" t="s">
        <v>12</v>
      </c>
      <c r="D25" s="16" t="s">
        <v>13</v>
      </c>
      <c r="E25" s="17" t="s">
        <v>14</v>
      </c>
      <c r="F25" s="16" t="s">
        <v>15</v>
      </c>
      <c r="G25" s="16" t="s">
        <v>16</v>
      </c>
      <c r="H25" s="18" t="s">
        <v>17</v>
      </c>
      <c r="I25" s="19" t="s">
        <v>29</v>
      </c>
      <c r="K25" s="37"/>
      <c r="L25" s="37"/>
    </row>
    <row r="26" spans="1:12" s="20" customFormat="1" x14ac:dyDescent="0.25">
      <c r="A26" s="14"/>
      <c r="B26" s="43"/>
      <c r="C26" s="15"/>
      <c r="D26" s="21" t="s">
        <v>146</v>
      </c>
      <c r="E26" s="21" t="s">
        <v>36</v>
      </c>
      <c r="F26" s="21" t="s">
        <v>147</v>
      </c>
      <c r="G26" s="75" t="s">
        <v>37</v>
      </c>
      <c r="H26" s="21" t="s">
        <v>34</v>
      </c>
      <c r="I26" s="21" t="s">
        <v>177</v>
      </c>
      <c r="K26" s="37"/>
      <c r="L26" s="37"/>
    </row>
    <row r="27" spans="1:12" s="20" customFormat="1" x14ac:dyDescent="0.25">
      <c r="A27" s="14"/>
      <c r="B27" s="43"/>
      <c r="C27" s="15"/>
      <c r="D27" s="21" t="s">
        <v>146</v>
      </c>
      <c r="E27" s="21" t="s">
        <v>36</v>
      </c>
      <c r="F27" s="21" t="s">
        <v>147</v>
      </c>
      <c r="G27" s="24" t="s">
        <v>142</v>
      </c>
      <c r="H27" s="21" t="s">
        <v>34</v>
      </c>
      <c r="I27" s="21" t="s">
        <v>138</v>
      </c>
      <c r="K27" s="37"/>
      <c r="L27" s="37"/>
    </row>
    <row r="28" spans="1:12" s="20" customFormat="1" x14ac:dyDescent="0.25">
      <c r="A28" s="14"/>
      <c r="B28" s="43"/>
      <c r="C28" s="15"/>
      <c r="D28" s="21" t="s">
        <v>146</v>
      </c>
      <c r="E28" s="59" t="s">
        <v>36</v>
      </c>
      <c r="F28" s="21" t="s">
        <v>148</v>
      </c>
      <c r="G28" s="75" t="s">
        <v>37</v>
      </c>
      <c r="H28" s="21" t="s">
        <v>34</v>
      </c>
      <c r="I28" s="21" t="s">
        <v>178</v>
      </c>
      <c r="K28" s="37"/>
      <c r="L28" s="37"/>
    </row>
    <row r="29" spans="1:12" s="20" customFormat="1" x14ac:dyDescent="0.25">
      <c r="A29" s="14"/>
      <c r="B29" s="43"/>
      <c r="C29" s="15"/>
      <c r="D29" s="21" t="s">
        <v>146</v>
      </c>
      <c r="E29" s="21" t="s">
        <v>36</v>
      </c>
      <c r="F29" s="21" t="s">
        <v>148</v>
      </c>
      <c r="G29" s="24" t="s">
        <v>142</v>
      </c>
      <c r="H29" s="21" t="s">
        <v>34</v>
      </c>
      <c r="I29" s="21" t="s">
        <v>167</v>
      </c>
      <c r="K29" s="37"/>
      <c r="L29" s="37"/>
    </row>
    <row r="30" spans="1:12" s="20" customFormat="1" x14ac:dyDescent="0.25">
      <c r="A30" s="14"/>
      <c r="B30" s="43"/>
      <c r="C30" s="15"/>
      <c r="D30" s="21" t="s">
        <v>146</v>
      </c>
      <c r="E30" s="21" t="s">
        <v>36</v>
      </c>
      <c r="F30" s="21" t="s">
        <v>124</v>
      </c>
      <c r="G30" s="75" t="s">
        <v>37</v>
      </c>
      <c r="H30" s="21" t="s">
        <v>34</v>
      </c>
      <c r="I30" s="21" t="s">
        <v>127</v>
      </c>
      <c r="K30" s="37"/>
      <c r="L30" s="37"/>
    </row>
    <row r="31" spans="1:12" s="20" customFormat="1" x14ac:dyDescent="0.25">
      <c r="A31" s="14"/>
      <c r="B31" s="43"/>
      <c r="C31" s="15"/>
      <c r="D31" s="21" t="s">
        <v>146</v>
      </c>
      <c r="E31" s="21" t="s">
        <v>36</v>
      </c>
      <c r="F31" s="21" t="s">
        <v>124</v>
      </c>
      <c r="G31" s="24" t="s">
        <v>142</v>
      </c>
      <c r="H31" s="21" t="s">
        <v>34</v>
      </c>
      <c r="I31" s="21" t="s">
        <v>127</v>
      </c>
      <c r="K31" s="37"/>
      <c r="L31" s="37"/>
    </row>
    <row r="32" spans="1:12" s="20" customFormat="1" x14ac:dyDescent="0.25">
      <c r="A32" s="14"/>
      <c r="B32" s="43"/>
      <c r="C32" s="15"/>
      <c r="D32" s="21" t="s">
        <v>146</v>
      </c>
      <c r="E32" s="21" t="s">
        <v>36</v>
      </c>
      <c r="F32" s="21" t="s">
        <v>125</v>
      </c>
      <c r="G32" s="75" t="s">
        <v>37</v>
      </c>
      <c r="H32" s="21" t="s">
        <v>34</v>
      </c>
      <c r="I32" s="21" t="s">
        <v>179</v>
      </c>
      <c r="K32" s="37"/>
      <c r="L32" s="37"/>
    </row>
    <row r="33" spans="1:12" s="20" customFormat="1" x14ac:dyDescent="0.25">
      <c r="A33" s="14"/>
      <c r="B33" s="43"/>
      <c r="C33" s="15"/>
      <c r="D33" s="21" t="s">
        <v>146</v>
      </c>
      <c r="E33" s="21" t="s">
        <v>36</v>
      </c>
      <c r="F33" s="21" t="s">
        <v>125</v>
      </c>
      <c r="G33" s="24" t="s">
        <v>142</v>
      </c>
      <c r="H33" s="21" t="s">
        <v>34</v>
      </c>
      <c r="I33" s="21" t="s">
        <v>127</v>
      </c>
      <c r="K33" s="37"/>
      <c r="L33" s="37"/>
    </row>
    <row r="34" spans="1:12" s="20" customFormat="1" x14ac:dyDescent="0.25">
      <c r="A34" s="14"/>
      <c r="B34" s="43"/>
      <c r="C34" s="15"/>
      <c r="D34" s="21" t="s">
        <v>146</v>
      </c>
      <c r="E34" s="21" t="s">
        <v>36</v>
      </c>
      <c r="F34" s="21" t="s">
        <v>149</v>
      </c>
      <c r="G34" s="75" t="s">
        <v>37</v>
      </c>
      <c r="H34" s="21" t="s">
        <v>34</v>
      </c>
      <c r="I34" s="21" t="s">
        <v>127</v>
      </c>
      <c r="K34" s="37"/>
      <c r="L34" s="37"/>
    </row>
    <row r="35" spans="1:12" s="20" customFormat="1" x14ac:dyDescent="0.25">
      <c r="A35" s="14"/>
      <c r="B35" s="43"/>
      <c r="C35" s="15"/>
      <c r="D35" s="21" t="s">
        <v>146</v>
      </c>
      <c r="E35" s="59" t="s">
        <v>36</v>
      </c>
      <c r="F35" s="21" t="s">
        <v>149</v>
      </c>
      <c r="G35" s="24" t="s">
        <v>142</v>
      </c>
      <c r="H35" s="21" t="s">
        <v>34</v>
      </c>
      <c r="I35" s="21" t="s">
        <v>127</v>
      </c>
      <c r="K35" s="37"/>
      <c r="L35" s="37"/>
    </row>
    <row r="36" spans="1:12" s="20" customFormat="1" x14ac:dyDescent="0.25">
      <c r="A36" s="14"/>
      <c r="B36" s="43"/>
      <c r="C36" s="15"/>
      <c r="D36" s="21" t="s">
        <v>146</v>
      </c>
      <c r="E36" s="21" t="s">
        <v>36</v>
      </c>
      <c r="F36" s="21" t="s">
        <v>150</v>
      </c>
      <c r="G36" s="75" t="s">
        <v>37</v>
      </c>
      <c r="H36" s="21" t="s">
        <v>34</v>
      </c>
      <c r="I36" s="21" t="s">
        <v>180</v>
      </c>
      <c r="K36" s="37"/>
      <c r="L36" s="37"/>
    </row>
    <row r="37" spans="1:12" s="20" customFormat="1" x14ac:dyDescent="0.25">
      <c r="A37" s="14"/>
      <c r="B37" s="43"/>
      <c r="C37" s="15"/>
      <c r="D37" s="21" t="s">
        <v>146</v>
      </c>
      <c r="E37" s="21" t="s">
        <v>36</v>
      </c>
      <c r="F37" s="21" t="s">
        <v>150</v>
      </c>
      <c r="G37" s="24" t="s">
        <v>142</v>
      </c>
      <c r="H37" s="21" t="s">
        <v>34</v>
      </c>
      <c r="I37" s="21" t="s">
        <v>127</v>
      </c>
      <c r="K37" s="37"/>
      <c r="L37" s="37"/>
    </row>
    <row r="38" spans="1:12" s="20" customFormat="1" x14ac:dyDescent="0.25">
      <c r="A38" s="14"/>
      <c r="B38" s="43"/>
      <c r="C38" s="15"/>
      <c r="D38" s="21" t="s">
        <v>146</v>
      </c>
      <c r="E38" s="21" t="s">
        <v>36</v>
      </c>
      <c r="F38" s="21" t="s">
        <v>151</v>
      </c>
      <c r="G38" s="75" t="s">
        <v>37</v>
      </c>
      <c r="H38" s="21" t="s">
        <v>34</v>
      </c>
      <c r="I38" s="21" t="s">
        <v>181</v>
      </c>
      <c r="K38" s="37"/>
      <c r="L38" s="37"/>
    </row>
    <row r="39" spans="1:12" s="20" customFormat="1" x14ac:dyDescent="0.25">
      <c r="A39" s="14"/>
      <c r="B39" s="43"/>
      <c r="C39" s="15"/>
      <c r="D39" s="21" t="s">
        <v>146</v>
      </c>
      <c r="E39" s="21" t="s">
        <v>36</v>
      </c>
      <c r="F39" s="21" t="s">
        <v>151</v>
      </c>
      <c r="G39" s="24" t="s">
        <v>142</v>
      </c>
      <c r="H39" s="21" t="s">
        <v>34</v>
      </c>
      <c r="I39" s="21" t="s">
        <v>127</v>
      </c>
      <c r="K39" s="37"/>
      <c r="L39" s="37"/>
    </row>
    <row r="40" spans="1:12" s="20" customFormat="1" x14ac:dyDescent="0.25">
      <c r="A40" s="14"/>
      <c r="B40" s="43"/>
      <c r="C40" s="15"/>
      <c r="D40" s="21" t="s">
        <v>146</v>
      </c>
      <c r="E40" s="59" t="s">
        <v>36</v>
      </c>
      <c r="F40" s="21" t="s">
        <v>152</v>
      </c>
      <c r="G40" s="75" t="s">
        <v>37</v>
      </c>
      <c r="H40" s="21" t="s">
        <v>34</v>
      </c>
      <c r="I40" s="21" t="s">
        <v>177</v>
      </c>
      <c r="K40" s="37"/>
      <c r="L40" s="37"/>
    </row>
    <row r="41" spans="1:12" s="20" customFormat="1" x14ac:dyDescent="0.25">
      <c r="A41" s="14"/>
      <c r="B41" s="43"/>
      <c r="C41" s="15"/>
      <c r="D41" s="21" t="s">
        <v>146</v>
      </c>
      <c r="E41" s="21" t="s">
        <v>36</v>
      </c>
      <c r="F41" s="21" t="s">
        <v>152</v>
      </c>
      <c r="G41" s="24" t="s">
        <v>142</v>
      </c>
      <c r="H41" s="21" t="s">
        <v>34</v>
      </c>
      <c r="I41" s="21" t="s">
        <v>138</v>
      </c>
      <c r="K41" s="37"/>
      <c r="L41" s="37"/>
    </row>
    <row r="42" spans="1:12" s="20" customFormat="1" x14ac:dyDescent="0.25">
      <c r="A42" s="14"/>
      <c r="B42" s="43"/>
      <c r="C42" s="15"/>
      <c r="D42" s="21" t="s">
        <v>146</v>
      </c>
      <c r="E42" s="21" t="s">
        <v>36</v>
      </c>
      <c r="F42" s="21" t="s">
        <v>130</v>
      </c>
      <c r="G42" s="75" t="s">
        <v>37</v>
      </c>
      <c r="H42" s="21" t="s">
        <v>34</v>
      </c>
      <c r="I42" s="21" t="s">
        <v>182</v>
      </c>
      <c r="K42" s="37"/>
      <c r="L42" s="37"/>
    </row>
    <row r="43" spans="1:12" s="20" customFormat="1" x14ac:dyDescent="0.25">
      <c r="A43" s="14"/>
      <c r="B43" s="43"/>
      <c r="C43" s="15"/>
      <c r="D43" s="21" t="s">
        <v>146</v>
      </c>
      <c r="E43" s="21" t="s">
        <v>36</v>
      </c>
      <c r="F43" s="21" t="s">
        <v>130</v>
      </c>
      <c r="G43" s="24" t="s">
        <v>142</v>
      </c>
      <c r="H43" s="21" t="s">
        <v>34</v>
      </c>
      <c r="I43" s="21" t="s">
        <v>127</v>
      </c>
      <c r="K43" s="37"/>
      <c r="L43" s="37"/>
    </row>
    <row r="44" spans="1:12" s="20" customFormat="1" x14ac:dyDescent="0.25">
      <c r="A44" s="14"/>
      <c r="B44" s="43"/>
      <c r="C44" s="15"/>
      <c r="D44" s="21" t="s">
        <v>146</v>
      </c>
      <c r="E44" s="59" t="s">
        <v>36</v>
      </c>
      <c r="F44" s="21" t="s">
        <v>153</v>
      </c>
      <c r="G44" s="75" t="s">
        <v>37</v>
      </c>
      <c r="H44" s="21" t="s">
        <v>34</v>
      </c>
      <c r="I44" s="21" t="s">
        <v>178</v>
      </c>
      <c r="K44" s="37"/>
      <c r="L44" s="37"/>
    </row>
    <row r="45" spans="1:12" s="20" customFormat="1" x14ac:dyDescent="0.25">
      <c r="A45" s="14"/>
      <c r="B45" s="43"/>
      <c r="C45" s="15"/>
      <c r="D45" s="21" t="s">
        <v>146</v>
      </c>
      <c r="E45" s="21" t="s">
        <v>36</v>
      </c>
      <c r="F45" s="21" t="s">
        <v>153</v>
      </c>
      <c r="G45" s="24" t="s">
        <v>142</v>
      </c>
      <c r="H45" s="21" t="s">
        <v>34</v>
      </c>
      <c r="I45" s="21" t="s">
        <v>167</v>
      </c>
      <c r="K45" s="37"/>
      <c r="L45" s="37"/>
    </row>
    <row r="46" spans="1:12" s="20" customFormat="1" x14ac:dyDescent="0.25">
      <c r="A46" s="14"/>
      <c r="B46" s="43"/>
      <c r="C46" s="15"/>
      <c r="D46" s="21" t="s">
        <v>146</v>
      </c>
      <c r="E46" s="21" t="s">
        <v>36</v>
      </c>
      <c r="F46" s="21" t="s">
        <v>154</v>
      </c>
      <c r="G46" s="75" t="s">
        <v>37</v>
      </c>
      <c r="H46" s="21" t="s">
        <v>34</v>
      </c>
      <c r="I46" s="21" t="s">
        <v>166</v>
      </c>
      <c r="K46" s="37"/>
      <c r="L46" s="37"/>
    </row>
    <row r="47" spans="1:12" s="20" customFormat="1" x14ac:dyDescent="0.25">
      <c r="A47" s="14"/>
      <c r="B47" s="43"/>
      <c r="C47" s="15"/>
      <c r="D47" s="21" t="s">
        <v>146</v>
      </c>
      <c r="E47" s="21" t="s">
        <v>36</v>
      </c>
      <c r="F47" s="21" t="s">
        <v>154</v>
      </c>
      <c r="G47" s="73" t="s">
        <v>142</v>
      </c>
      <c r="H47" s="21" t="s">
        <v>34</v>
      </c>
      <c r="I47" s="21" t="s">
        <v>127</v>
      </c>
      <c r="K47" s="37"/>
      <c r="L47" s="37"/>
    </row>
    <row r="48" spans="1:12" s="20" customFormat="1" x14ac:dyDescent="0.25">
      <c r="A48" s="14"/>
      <c r="B48" s="43"/>
      <c r="C48" s="15"/>
      <c r="D48" s="21" t="s">
        <v>146</v>
      </c>
      <c r="E48" s="21" t="s">
        <v>36</v>
      </c>
      <c r="F48" s="21" t="s">
        <v>155</v>
      </c>
      <c r="G48" s="75" t="s">
        <v>37</v>
      </c>
      <c r="H48" s="21" t="s">
        <v>34</v>
      </c>
      <c r="I48" s="21" t="s">
        <v>183</v>
      </c>
      <c r="K48" s="37"/>
      <c r="L48" s="37"/>
    </row>
    <row r="49" spans="1:12" s="20" customFormat="1" x14ac:dyDescent="0.25">
      <c r="A49" s="14"/>
      <c r="B49" s="43"/>
      <c r="C49" s="15"/>
      <c r="D49" s="21" t="s">
        <v>146</v>
      </c>
      <c r="E49" s="21" t="s">
        <v>36</v>
      </c>
      <c r="F49" s="21" t="s">
        <v>155</v>
      </c>
      <c r="G49" s="24" t="s">
        <v>142</v>
      </c>
      <c r="H49" s="21" t="s">
        <v>34</v>
      </c>
      <c r="I49" s="21" t="s">
        <v>134</v>
      </c>
      <c r="K49" s="37"/>
      <c r="L49" s="37"/>
    </row>
    <row r="50" spans="1:12" s="20" customFormat="1" x14ac:dyDescent="0.25">
      <c r="A50" s="14"/>
      <c r="B50" s="43"/>
      <c r="C50" s="15"/>
      <c r="D50" s="21" t="s">
        <v>146</v>
      </c>
      <c r="E50" s="21" t="s">
        <v>36</v>
      </c>
      <c r="F50" s="21" t="s">
        <v>156</v>
      </c>
      <c r="G50" s="75" t="s">
        <v>37</v>
      </c>
      <c r="H50" s="21" t="s">
        <v>34</v>
      </c>
      <c r="I50" s="21" t="s">
        <v>173</v>
      </c>
      <c r="K50" s="37"/>
      <c r="L50" s="37"/>
    </row>
    <row r="51" spans="1:12" s="20" customFormat="1" x14ac:dyDescent="0.25">
      <c r="A51" s="14"/>
      <c r="B51" s="43"/>
      <c r="C51" s="15"/>
      <c r="D51" s="21" t="s">
        <v>146</v>
      </c>
      <c r="E51" s="59" t="s">
        <v>36</v>
      </c>
      <c r="F51" s="21" t="s">
        <v>156</v>
      </c>
      <c r="G51" s="24" t="s">
        <v>142</v>
      </c>
      <c r="H51" s="21" t="s">
        <v>34</v>
      </c>
      <c r="I51" s="21" t="s">
        <v>208</v>
      </c>
      <c r="K51" s="37"/>
      <c r="L51" s="37"/>
    </row>
    <row r="52" spans="1:12" s="20" customFormat="1" x14ac:dyDescent="0.25">
      <c r="A52" s="14"/>
      <c r="B52" s="43"/>
      <c r="C52" s="15"/>
      <c r="D52" s="21" t="s">
        <v>146</v>
      </c>
      <c r="E52" s="21" t="s">
        <v>36</v>
      </c>
      <c r="F52" s="21" t="s">
        <v>157</v>
      </c>
      <c r="G52" s="73" t="s">
        <v>37</v>
      </c>
      <c r="H52" s="21" t="s">
        <v>34</v>
      </c>
      <c r="I52" s="21" t="s">
        <v>165</v>
      </c>
      <c r="K52" s="37"/>
      <c r="L52" s="37"/>
    </row>
    <row r="53" spans="1:12" s="20" customFormat="1" x14ac:dyDescent="0.25">
      <c r="A53" s="14"/>
      <c r="B53" s="43"/>
      <c r="C53" s="15"/>
      <c r="D53" s="21" t="s">
        <v>146</v>
      </c>
      <c r="E53" s="21" t="s">
        <v>36</v>
      </c>
      <c r="F53" s="21" t="s">
        <v>157</v>
      </c>
      <c r="G53" s="22" t="s">
        <v>142</v>
      </c>
      <c r="H53" s="21" t="s">
        <v>34</v>
      </c>
      <c r="I53" s="21" t="s">
        <v>127</v>
      </c>
      <c r="K53" s="37"/>
      <c r="L53" s="37"/>
    </row>
    <row r="54" spans="1:12" s="20" customFormat="1" x14ac:dyDescent="0.25">
      <c r="A54" s="14"/>
      <c r="B54" s="43"/>
      <c r="C54" s="15"/>
      <c r="D54" s="21" t="s">
        <v>146</v>
      </c>
      <c r="E54" s="59" t="s">
        <v>36</v>
      </c>
      <c r="F54" s="21" t="s">
        <v>158</v>
      </c>
      <c r="G54" s="73" t="s">
        <v>37</v>
      </c>
      <c r="H54" s="21" t="s">
        <v>34</v>
      </c>
      <c r="I54" s="21" t="s">
        <v>140</v>
      </c>
      <c r="K54" s="37"/>
      <c r="L54" s="37"/>
    </row>
    <row r="55" spans="1:12" s="20" customFormat="1" x14ac:dyDescent="0.25">
      <c r="A55" s="14"/>
      <c r="B55" s="43"/>
      <c r="C55" s="15"/>
      <c r="D55" s="21" t="s">
        <v>146</v>
      </c>
      <c r="E55" s="21" t="s">
        <v>36</v>
      </c>
      <c r="F55" s="21" t="s">
        <v>158</v>
      </c>
      <c r="G55" s="22" t="s">
        <v>142</v>
      </c>
      <c r="H55" s="21" t="s">
        <v>34</v>
      </c>
      <c r="I55" s="21" t="s">
        <v>127</v>
      </c>
      <c r="K55" s="37"/>
      <c r="L55" s="37"/>
    </row>
    <row r="56" spans="1:12" s="20" customFormat="1" x14ac:dyDescent="0.25">
      <c r="A56" s="14"/>
      <c r="B56" s="43"/>
      <c r="C56" s="15"/>
      <c r="D56" s="21" t="s">
        <v>146</v>
      </c>
      <c r="E56" s="21" t="s">
        <v>36</v>
      </c>
      <c r="F56" s="21" t="s">
        <v>141</v>
      </c>
      <c r="G56" s="73" t="s">
        <v>37</v>
      </c>
      <c r="H56" s="21" t="s">
        <v>34</v>
      </c>
      <c r="I56" s="21" t="s">
        <v>184</v>
      </c>
      <c r="K56" s="37"/>
      <c r="L56" s="37"/>
    </row>
    <row r="57" spans="1:12" s="20" customFormat="1" x14ac:dyDescent="0.25">
      <c r="A57" s="14"/>
      <c r="B57" s="43"/>
      <c r="C57" s="15"/>
      <c r="D57" s="21" t="s">
        <v>146</v>
      </c>
      <c r="E57" s="21" t="s">
        <v>36</v>
      </c>
      <c r="F57" s="21" t="s">
        <v>141</v>
      </c>
      <c r="G57" s="22" t="s">
        <v>142</v>
      </c>
      <c r="H57" s="21" t="s">
        <v>34</v>
      </c>
      <c r="I57" s="21" t="s">
        <v>184</v>
      </c>
      <c r="K57" s="37"/>
      <c r="L57" s="37"/>
    </row>
    <row r="58" spans="1:12" s="20" customFormat="1" x14ac:dyDescent="0.25">
      <c r="A58" s="14"/>
      <c r="B58" s="43"/>
      <c r="C58" s="15"/>
      <c r="D58" s="21" t="s">
        <v>146</v>
      </c>
      <c r="E58" s="21" t="s">
        <v>36</v>
      </c>
      <c r="F58" s="21" t="s">
        <v>159</v>
      </c>
      <c r="G58" s="73" t="s">
        <v>37</v>
      </c>
      <c r="H58" s="21" t="s">
        <v>34</v>
      </c>
      <c r="I58" s="21" t="s">
        <v>184</v>
      </c>
      <c r="K58" s="37"/>
      <c r="L58" s="37"/>
    </row>
    <row r="59" spans="1:12" s="20" customFormat="1" x14ac:dyDescent="0.25">
      <c r="A59" s="14"/>
      <c r="B59" s="43"/>
      <c r="C59" s="15"/>
      <c r="D59" s="21" t="s">
        <v>146</v>
      </c>
      <c r="E59" s="21" t="s">
        <v>36</v>
      </c>
      <c r="F59" s="21" t="s">
        <v>159</v>
      </c>
      <c r="G59" s="22" t="s">
        <v>142</v>
      </c>
      <c r="H59" s="21" t="s">
        <v>34</v>
      </c>
      <c r="I59" s="21" t="s">
        <v>184</v>
      </c>
      <c r="K59" s="37"/>
      <c r="L59" s="37"/>
    </row>
    <row r="60" spans="1:12" s="20" customFormat="1" x14ac:dyDescent="0.25">
      <c r="A60" s="14"/>
      <c r="B60" s="43"/>
      <c r="C60" s="15"/>
      <c r="D60" s="21" t="s">
        <v>146</v>
      </c>
      <c r="E60" s="21" t="s">
        <v>36</v>
      </c>
      <c r="F60" s="21" t="s">
        <v>160</v>
      </c>
      <c r="G60" s="73" t="s">
        <v>37</v>
      </c>
      <c r="H60" s="21" t="s">
        <v>34</v>
      </c>
      <c r="I60" s="21" t="s">
        <v>185</v>
      </c>
      <c r="K60" s="37"/>
      <c r="L60" s="37"/>
    </row>
    <row r="61" spans="1:12" s="20" customFormat="1" x14ac:dyDescent="0.25">
      <c r="A61" s="14"/>
      <c r="B61" s="43"/>
      <c r="C61" s="15"/>
      <c r="D61" s="21" t="s">
        <v>146</v>
      </c>
      <c r="E61" s="59" t="s">
        <v>36</v>
      </c>
      <c r="F61" s="21" t="s">
        <v>160</v>
      </c>
      <c r="G61" s="22" t="s">
        <v>142</v>
      </c>
      <c r="H61" s="21" t="s">
        <v>34</v>
      </c>
      <c r="I61" s="21" t="s">
        <v>185</v>
      </c>
      <c r="K61" s="37"/>
      <c r="L61" s="37"/>
    </row>
    <row r="62" spans="1:12" s="20" customFormat="1" x14ac:dyDescent="0.25">
      <c r="A62" s="14"/>
      <c r="B62" s="43"/>
      <c r="C62" s="15"/>
      <c r="D62" s="21" t="s">
        <v>146</v>
      </c>
      <c r="E62" s="21" t="s">
        <v>36</v>
      </c>
      <c r="F62" s="21" t="s">
        <v>161</v>
      </c>
      <c r="G62" s="73" t="s">
        <v>37</v>
      </c>
      <c r="H62" s="21" t="s">
        <v>34</v>
      </c>
      <c r="I62" s="21" t="s">
        <v>185</v>
      </c>
      <c r="K62" s="37"/>
      <c r="L62" s="37"/>
    </row>
    <row r="63" spans="1:12" s="20" customFormat="1" x14ac:dyDescent="0.25">
      <c r="A63" s="14"/>
      <c r="B63" s="43"/>
      <c r="C63" s="15"/>
      <c r="D63" s="21" t="s">
        <v>146</v>
      </c>
      <c r="E63" s="21" t="s">
        <v>36</v>
      </c>
      <c r="F63" s="21" t="s">
        <v>161</v>
      </c>
      <c r="G63" s="22" t="s">
        <v>142</v>
      </c>
      <c r="H63" s="21" t="s">
        <v>34</v>
      </c>
      <c r="I63" s="21" t="s">
        <v>185</v>
      </c>
      <c r="K63" s="37"/>
      <c r="L63" s="37"/>
    </row>
    <row r="64" spans="1:12" s="20" customFormat="1" x14ac:dyDescent="0.25">
      <c r="A64" s="14"/>
      <c r="B64" s="43"/>
      <c r="C64" s="15"/>
      <c r="D64" s="21" t="s">
        <v>146</v>
      </c>
      <c r="E64" s="21" t="s">
        <v>36</v>
      </c>
      <c r="F64" s="21" t="s">
        <v>162</v>
      </c>
      <c r="G64" s="73" t="s">
        <v>37</v>
      </c>
      <c r="H64" s="21" t="s">
        <v>34</v>
      </c>
      <c r="I64" s="21" t="s">
        <v>127</v>
      </c>
      <c r="K64" s="37"/>
      <c r="L64" s="37"/>
    </row>
    <row r="65" spans="1:16" s="20" customFormat="1" x14ac:dyDescent="0.25">
      <c r="A65" s="14"/>
      <c r="B65" s="43"/>
      <c r="C65" s="15"/>
      <c r="D65" s="21" t="s">
        <v>146</v>
      </c>
      <c r="E65" s="21" t="s">
        <v>36</v>
      </c>
      <c r="F65" s="21" t="s">
        <v>162</v>
      </c>
      <c r="G65" s="22" t="s">
        <v>142</v>
      </c>
      <c r="H65" s="21" t="s">
        <v>34</v>
      </c>
      <c r="I65" s="21" t="s">
        <v>127</v>
      </c>
      <c r="K65" s="37"/>
      <c r="L65" s="37"/>
    </row>
    <row r="66" spans="1:16" s="20" customFormat="1" x14ac:dyDescent="0.25">
      <c r="A66" s="14"/>
      <c r="B66" s="43"/>
      <c r="C66" s="15"/>
      <c r="D66" s="21" t="s">
        <v>146</v>
      </c>
      <c r="E66" s="59" t="s">
        <v>36</v>
      </c>
      <c r="F66" s="21" t="s">
        <v>163</v>
      </c>
      <c r="G66" s="73" t="s">
        <v>37</v>
      </c>
      <c r="H66" s="21" t="s">
        <v>34</v>
      </c>
      <c r="I66" s="21" t="s">
        <v>127</v>
      </c>
      <c r="K66" s="37"/>
      <c r="L66" s="37"/>
    </row>
    <row r="67" spans="1:16" s="20" customFormat="1" x14ac:dyDescent="0.25">
      <c r="A67" s="14"/>
      <c r="B67" s="43"/>
      <c r="C67" s="15"/>
      <c r="D67" s="21" t="s">
        <v>146</v>
      </c>
      <c r="E67" s="21" t="s">
        <v>36</v>
      </c>
      <c r="F67" s="21" t="s">
        <v>163</v>
      </c>
      <c r="G67" s="22" t="s">
        <v>142</v>
      </c>
      <c r="H67" s="21" t="s">
        <v>34</v>
      </c>
      <c r="I67" s="21" t="s">
        <v>127</v>
      </c>
      <c r="K67" s="37"/>
      <c r="L67" s="37"/>
    </row>
    <row r="68" spans="1:16" s="20" customFormat="1" x14ac:dyDescent="0.25">
      <c r="A68" s="14"/>
      <c r="B68" s="43"/>
      <c r="C68" s="15"/>
      <c r="D68" s="21" t="s">
        <v>146</v>
      </c>
      <c r="E68" s="21" t="s">
        <v>36</v>
      </c>
      <c r="F68" s="21" t="s">
        <v>164</v>
      </c>
      <c r="G68" s="73" t="s">
        <v>37</v>
      </c>
      <c r="H68" s="21" t="s">
        <v>34</v>
      </c>
      <c r="I68" s="21" t="s">
        <v>184</v>
      </c>
      <c r="K68" s="37"/>
      <c r="L68" s="37"/>
    </row>
    <row r="69" spans="1:16" s="20" customFormat="1" x14ac:dyDescent="0.25">
      <c r="A69" s="14"/>
      <c r="B69" s="43"/>
      <c r="C69" s="15"/>
      <c r="D69" s="21" t="s">
        <v>146</v>
      </c>
      <c r="E69" s="21" t="s">
        <v>36</v>
      </c>
      <c r="F69" s="21" t="s">
        <v>164</v>
      </c>
      <c r="G69" s="22" t="s">
        <v>142</v>
      </c>
      <c r="H69" s="21" t="s">
        <v>34</v>
      </c>
      <c r="I69" s="21" t="s">
        <v>184</v>
      </c>
      <c r="K69" s="37"/>
      <c r="L69" s="37"/>
    </row>
    <row r="70" spans="1:16" s="20" customFormat="1" x14ac:dyDescent="0.25">
      <c r="A70" s="14"/>
      <c r="B70" s="43"/>
      <c r="C70" s="15"/>
      <c r="D70" s="21" t="s">
        <v>146</v>
      </c>
      <c r="E70" s="59" t="s">
        <v>36</v>
      </c>
      <c r="F70" s="21" t="s">
        <v>135</v>
      </c>
      <c r="G70" s="73" t="s">
        <v>37</v>
      </c>
      <c r="H70" s="21" t="s">
        <v>34</v>
      </c>
      <c r="I70" s="21" t="s">
        <v>185</v>
      </c>
      <c r="K70" s="37"/>
      <c r="L70" s="37"/>
    </row>
    <row r="71" spans="1:16" s="20" customFormat="1" x14ac:dyDescent="0.25">
      <c r="A71" s="14"/>
      <c r="B71" s="43"/>
      <c r="C71" s="15"/>
      <c r="D71" s="21" t="s">
        <v>146</v>
      </c>
      <c r="E71" s="21" t="s">
        <v>36</v>
      </c>
      <c r="F71" s="21" t="s">
        <v>135</v>
      </c>
      <c r="G71" s="22" t="s">
        <v>142</v>
      </c>
      <c r="H71" s="21" t="s">
        <v>34</v>
      </c>
      <c r="I71" s="21" t="s">
        <v>185</v>
      </c>
      <c r="K71" s="37"/>
      <c r="L71" s="37"/>
    </row>
    <row r="72" spans="1:16" s="20" customFormat="1" x14ac:dyDescent="0.25">
      <c r="A72" s="14"/>
      <c r="B72" s="43"/>
      <c r="C72" s="15"/>
      <c r="D72" s="21" t="s">
        <v>146</v>
      </c>
      <c r="E72" s="21" t="s">
        <v>36</v>
      </c>
      <c r="F72" s="21" t="s">
        <v>165</v>
      </c>
      <c r="G72" s="73" t="s">
        <v>37</v>
      </c>
      <c r="H72" s="21" t="s">
        <v>34</v>
      </c>
      <c r="I72" s="21" t="s">
        <v>175</v>
      </c>
      <c r="K72" s="37"/>
      <c r="L72" s="37"/>
    </row>
    <row r="73" spans="1:16" s="20" customFormat="1" x14ac:dyDescent="0.25">
      <c r="A73" s="14"/>
      <c r="B73" s="43"/>
      <c r="C73" s="15"/>
      <c r="D73" s="21" t="s">
        <v>146</v>
      </c>
      <c r="E73" s="21" t="s">
        <v>36</v>
      </c>
      <c r="F73" s="21" t="s">
        <v>165</v>
      </c>
      <c r="G73" s="22" t="s">
        <v>142</v>
      </c>
      <c r="H73" s="21" t="s">
        <v>34</v>
      </c>
      <c r="I73" s="21" t="s">
        <v>186</v>
      </c>
      <c r="K73" s="37"/>
      <c r="L73" s="37"/>
    </row>
    <row r="74" spans="1:16" s="20" customFormat="1" x14ac:dyDescent="0.25">
      <c r="A74" s="14"/>
      <c r="B74" s="43"/>
      <c r="C74" s="15"/>
      <c r="D74" s="21" t="s">
        <v>146</v>
      </c>
      <c r="E74" s="21" t="s">
        <v>36</v>
      </c>
      <c r="F74" s="21" t="s">
        <v>133</v>
      </c>
      <c r="G74" s="73" t="s">
        <v>37</v>
      </c>
      <c r="H74" s="21" t="s">
        <v>34</v>
      </c>
      <c r="I74" s="21" t="s">
        <v>187</v>
      </c>
      <c r="K74" s="37"/>
      <c r="L74" s="37"/>
    </row>
    <row r="75" spans="1:16" s="20" customFormat="1" x14ac:dyDescent="0.25">
      <c r="A75" s="14"/>
      <c r="B75" s="43"/>
      <c r="C75" s="15"/>
      <c r="D75" s="21" t="s">
        <v>146</v>
      </c>
      <c r="E75" s="21" t="s">
        <v>36</v>
      </c>
      <c r="F75" s="21" t="s">
        <v>133</v>
      </c>
      <c r="G75" s="22" t="s">
        <v>142</v>
      </c>
      <c r="H75" s="21" t="s">
        <v>34</v>
      </c>
      <c r="I75" s="21" t="s">
        <v>127</v>
      </c>
      <c r="K75" s="37"/>
      <c r="L75" s="37"/>
    </row>
    <row r="76" spans="1:16" s="20" customFormat="1" x14ac:dyDescent="0.25">
      <c r="A76" s="63"/>
      <c r="B76" s="65"/>
      <c r="C76" s="65"/>
      <c r="D76" s="66"/>
      <c r="E76" s="66"/>
      <c r="F76" s="66"/>
      <c r="G76" s="67"/>
      <c r="H76" s="66"/>
      <c r="I76" s="66"/>
      <c r="K76" s="37"/>
      <c r="L76" s="37"/>
    </row>
    <row r="77" spans="1:16" s="68" customFormat="1" x14ac:dyDescent="0.25">
      <c r="A77" s="63"/>
      <c r="B77" s="64"/>
      <c r="C77" s="65"/>
      <c r="D77" s="66"/>
      <c r="E77" s="66"/>
      <c r="F77" s="66"/>
      <c r="G77" s="67"/>
      <c r="H77" s="66"/>
      <c r="I77" s="66"/>
      <c r="K77" s="69"/>
      <c r="L77" s="69"/>
    </row>
    <row r="78" spans="1:16" ht="27" x14ac:dyDescent="0.25">
      <c r="A78" s="77" t="s">
        <v>100</v>
      </c>
      <c r="B78" s="77"/>
      <c r="C78" s="77"/>
      <c r="D78" s="46"/>
      <c r="E78" s="47"/>
      <c r="F78" s="48"/>
      <c r="G78" s="48"/>
      <c r="H78" s="49"/>
      <c r="I78" s="13" t="s">
        <v>28</v>
      </c>
    </row>
    <row r="79" spans="1:16" x14ac:dyDescent="0.25">
      <c r="A79" s="14" t="s">
        <v>10</v>
      </c>
      <c r="B79" s="43" t="s">
        <v>11</v>
      </c>
      <c r="C79" s="15" t="s">
        <v>12</v>
      </c>
      <c r="D79" s="16" t="s">
        <v>13</v>
      </c>
      <c r="E79" s="17" t="s">
        <v>14</v>
      </c>
      <c r="F79" s="16" t="s">
        <v>15</v>
      </c>
      <c r="G79" s="16" t="s">
        <v>16</v>
      </c>
      <c r="H79" s="18" t="s">
        <v>17</v>
      </c>
      <c r="I79" s="19" t="s">
        <v>29</v>
      </c>
    </row>
    <row r="80" spans="1:16" s="20" customFormat="1" x14ac:dyDescent="0.25">
      <c r="A80" s="31" t="s">
        <v>94</v>
      </c>
      <c r="B80" s="32" t="s">
        <v>54</v>
      </c>
      <c r="C80" s="32" t="s">
        <v>52</v>
      </c>
      <c r="D80" s="21" t="s">
        <v>92</v>
      </c>
      <c r="E80" s="21" t="s">
        <v>36</v>
      </c>
      <c r="F80" s="21" t="s">
        <v>46</v>
      </c>
      <c r="G80" s="22" t="s">
        <v>37</v>
      </c>
      <c r="H80" s="21" t="s">
        <v>34</v>
      </c>
      <c r="I80" s="21" t="str">
        <f>"0x"&amp;TEXT(J80,"00")</f>
        <v>0x5F</v>
      </c>
      <c r="J80" s="20" t="str">
        <f>DEC2HEX(MOD(K80,256))</f>
        <v>5F</v>
      </c>
      <c r="K80" s="37">
        <f>P82-1</f>
        <v>863</v>
      </c>
      <c r="L80" s="78" t="s">
        <v>89</v>
      </c>
      <c r="M80" s="78"/>
      <c r="N80" s="78"/>
      <c r="O80" s="78"/>
      <c r="P80" s="78"/>
    </row>
    <row r="81" spans="1:16" s="20" customFormat="1" x14ac:dyDescent="0.25">
      <c r="A81" s="31" t="s">
        <v>94</v>
      </c>
      <c r="B81" s="61" t="s">
        <v>54</v>
      </c>
      <c r="C81" s="61"/>
      <c r="D81" s="21" t="s">
        <v>92</v>
      </c>
      <c r="E81" s="62" t="s">
        <v>36</v>
      </c>
      <c r="F81" s="62" t="s">
        <v>46</v>
      </c>
      <c r="G81" s="70" t="s">
        <v>39</v>
      </c>
      <c r="H81" s="62" t="s">
        <v>34</v>
      </c>
      <c r="I81" s="21" t="str">
        <f t="shared" ref="I81:I119" si="0">"0x"&amp;TEXT(J81,"00")</f>
        <v>0x03</v>
      </c>
      <c r="J81" s="20" t="str">
        <f>DEC2HEX((K80-MOD(K80,256))/256)</f>
        <v>3</v>
      </c>
      <c r="K81" s="37"/>
      <c r="L81" s="71" t="s">
        <v>194</v>
      </c>
      <c r="M81" s="71" t="s">
        <v>103</v>
      </c>
      <c r="N81" s="71" t="s">
        <v>195</v>
      </c>
      <c r="O81" s="71" t="s">
        <v>105</v>
      </c>
      <c r="P81" s="71" t="s">
        <v>106</v>
      </c>
    </row>
    <row r="82" spans="1:16" s="20" customFormat="1" x14ac:dyDescent="0.25">
      <c r="A82" s="31" t="s">
        <v>93</v>
      </c>
      <c r="B82" s="32" t="s">
        <v>55</v>
      </c>
      <c r="C82" s="32" t="s">
        <v>52</v>
      </c>
      <c r="D82" s="21" t="s">
        <v>91</v>
      </c>
      <c r="E82" s="21" t="s">
        <v>36</v>
      </c>
      <c r="F82" s="21" t="s">
        <v>48</v>
      </c>
      <c r="G82" s="22" t="s">
        <v>37</v>
      </c>
      <c r="H82" s="21" t="s">
        <v>34</v>
      </c>
      <c r="I82" s="21" t="str">
        <f>"0x"&amp;TEXT(J82,"00")</f>
        <v>0x70</v>
      </c>
      <c r="J82" s="20" t="str">
        <f>DEC2HEX(MOD(K82,256))</f>
        <v>70</v>
      </c>
      <c r="K82" s="37">
        <f>P85-1</f>
        <v>624</v>
      </c>
      <c r="L82" s="72">
        <v>64</v>
      </c>
      <c r="M82" s="72">
        <v>68</v>
      </c>
      <c r="N82" s="72">
        <v>720</v>
      </c>
      <c r="O82" s="72">
        <f>P82-N82-M82-L82</f>
        <v>12</v>
      </c>
      <c r="P82" s="72">
        <v>864</v>
      </c>
    </row>
    <row r="83" spans="1:16" s="20" customFormat="1" x14ac:dyDescent="0.25">
      <c r="A83" s="31" t="s">
        <v>93</v>
      </c>
      <c r="B83" s="32" t="s">
        <v>55</v>
      </c>
      <c r="C83" s="32"/>
      <c r="D83" s="21" t="s">
        <v>91</v>
      </c>
      <c r="E83" s="21" t="s">
        <v>36</v>
      </c>
      <c r="F83" s="21" t="s">
        <v>48</v>
      </c>
      <c r="G83" s="24" t="s">
        <v>39</v>
      </c>
      <c r="H83" s="21" t="s">
        <v>34</v>
      </c>
      <c r="I83" s="21" t="str">
        <f t="shared" si="0"/>
        <v>0x02</v>
      </c>
      <c r="J83" s="20" t="str">
        <f>DEC2HEX((K82-MOD(K82,256))/256)</f>
        <v>2</v>
      </c>
      <c r="K83" s="37"/>
      <c r="L83" s="78" t="s">
        <v>196</v>
      </c>
      <c r="M83" s="78"/>
      <c r="N83" s="78"/>
      <c r="O83" s="78"/>
      <c r="P83" s="78"/>
    </row>
    <row r="84" spans="1:16" s="20" customFormat="1" x14ac:dyDescent="0.25">
      <c r="A84" s="31" t="s">
        <v>93</v>
      </c>
      <c r="B84" s="32" t="s">
        <v>53</v>
      </c>
      <c r="C84" s="32" t="s">
        <v>52</v>
      </c>
      <c r="D84" s="21" t="s">
        <v>91</v>
      </c>
      <c r="E84" s="21" t="s">
        <v>36</v>
      </c>
      <c r="F84" s="21" t="s">
        <v>47</v>
      </c>
      <c r="G84" s="22" t="s">
        <v>37</v>
      </c>
      <c r="H84" s="21" t="s">
        <v>34</v>
      </c>
      <c r="I84" s="21" t="str">
        <f t="shared" si="0"/>
        <v>0x00</v>
      </c>
      <c r="J84" s="20" t="str">
        <f>DEC2HEX(MOD(K84,256))</f>
        <v>0</v>
      </c>
      <c r="K84" s="37">
        <v>0</v>
      </c>
      <c r="L84" s="71" t="s">
        <v>197</v>
      </c>
      <c r="M84" s="71" t="s">
        <v>103</v>
      </c>
      <c r="N84" s="71" t="s">
        <v>104</v>
      </c>
      <c r="O84" s="71" t="s">
        <v>198</v>
      </c>
      <c r="P84" s="71" t="s">
        <v>106</v>
      </c>
    </row>
    <row r="85" spans="1:16" s="20" customFormat="1" x14ac:dyDescent="0.25">
      <c r="A85" s="31" t="s">
        <v>93</v>
      </c>
      <c r="B85" s="32" t="s">
        <v>53</v>
      </c>
      <c r="C85" s="32"/>
      <c r="D85" s="21" t="s">
        <v>91</v>
      </c>
      <c r="E85" s="21" t="s">
        <v>36</v>
      </c>
      <c r="F85" s="21" t="s">
        <v>47</v>
      </c>
      <c r="G85" s="24" t="s">
        <v>39</v>
      </c>
      <c r="H85" s="21" t="s">
        <v>34</v>
      </c>
      <c r="I85" s="21" t="str">
        <f t="shared" si="0"/>
        <v>0x00</v>
      </c>
      <c r="J85" s="20" t="str">
        <f>DEC2HEX((K84-MOD(K84,256))/256)</f>
        <v>0</v>
      </c>
      <c r="K85" s="37"/>
      <c r="L85" s="72">
        <v>5</v>
      </c>
      <c r="M85" s="72">
        <v>39</v>
      </c>
      <c r="N85" s="72">
        <v>576</v>
      </c>
      <c r="O85" s="72">
        <f>P85-N85-M85-L85</f>
        <v>5</v>
      </c>
      <c r="P85" s="72">
        <v>625</v>
      </c>
    </row>
    <row r="86" spans="1:16" s="20" customFormat="1" x14ac:dyDescent="0.25">
      <c r="A86" s="31" t="s">
        <v>93</v>
      </c>
      <c r="B86" s="32" t="s">
        <v>56</v>
      </c>
      <c r="C86" s="32" t="s">
        <v>52</v>
      </c>
      <c r="D86" s="21" t="s">
        <v>91</v>
      </c>
      <c r="E86" s="21" t="s">
        <v>36</v>
      </c>
      <c r="F86" s="21" t="s">
        <v>43</v>
      </c>
      <c r="G86" s="22" t="s">
        <v>37</v>
      </c>
      <c r="H86" s="21" t="s">
        <v>34</v>
      </c>
      <c r="I86" s="21" t="str">
        <f t="shared" si="0"/>
        <v>0x3F</v>
      </c>
      <c r="J86" s="20" t="str">
        <f>DEC2HEX(MOD(K86,256))</f>
        <v>3F</v>
      </c>
      <c r="K86" s="37">
        <f>L82-1</f>
        <v>63</v>
      </c>
      <c r="L86" s="78" t="s">
        <v>199</v>
      </c>
      <c r="M86" s="78"/>
      <c r="N86" s="78"/>
      <c r="O86" s="78"/>
      <c r="P86" s="78"/>
    </row>
    <row r="87" spans="1:16" s="20" customFormat="1" x14ac:dyDescent="0.25">
      <c r="A87" s="31" t="s">
        <v>93</v>
      </c>
      <c r="B87" s="32" t="s">
        <v>56</v>
      </c>
      <c r="C87" s="32"/>
      <c r="D87" s="21" t="s">
        <v>91</v>
      </c>
      <c r="E87" s="21" t="s">
        <v>36</v>
      </c>
      <c r="F87" s="21" t="s">
        <v>43</v>
      </c>
      <c r="G87" s="24" t="s">
        <v>39</v>
      </c>
      <c r="H87" s="21" t="s">
        <v>34</v>
      </c>
      <c r="I87" s="21" t="str">
        <f t="shared" si="0"/>
        <v>0x00</v>
      </c>
      <c r="J87" s="20" t="str">
        <f>DEC2HEX((K86-MOD(K86,256))/256)</f>
        <v>0</v>
      </c>
      <c r="K87" s="37"/>
      <c r="L87" s="79">
        <v>50</v>
      </c>
      <c r="M87" s="79"/>
      <c r="N87" s="79"/>
      <c r="O87" s="79"/>
      <c r="P87" s="79"/>
    </row>
    <row r="88" spans="1:16" s="20" customFormat="1" x14ac:dyDescent="0.25">
      <c r="A88" s="31" t="s">
        <v>93</v>
      </c>
      <c r="B88" s="32" t="s">
        <v>57</v>
      </c>
      <c r="C88" s="32" t="s">
        <v>52</v>
      </c>
      <c r="D88" s="21" t="s">
        <v>91</v>
      </c>
      <c r="E88" s="21" t="s">
        <v>36</v>
      </c>
      <c r="F88" s="21" t="s">
        <v>49</v>
      </c>
      <c r="G88" s="22" t="s">
        <v>37</v>
      </c>
      <c r="H88" s="21" t="s">
        <v>34</v>
      </c>
      <c r="I88" s="21" t="str">
        <f t="shared" si="0"/>
        <v>0x00</v>
      </c>
      <c r="J88" s="20" t="str">
        <f>DEC2HEX(MOD(K88,256))</f>
        <v>0</v>
      </c>
      <c r="K88" s="37">
        <v>0</v>
      </c>
      <c r="L88" s="37"/>
    </row>
    <row r="89" spans="1:16" s="20" customFormat="1" x14ac:dyDescent="0.25">
      <c r="A89" s="31" t="s">
        <v>93</v>
      </c>
      <c r="B89" s="32" t="s">
        <v>57</v>
      </c>
      <c r="C89" s="32"/>
      <c r="D89" s="21" t="s">
        <v>91</v>
      </c>
      <c r="E89" s="21" t="s">
        <v>36</v>
      </c>
      <c r="F89" s="21" t="s">
        <v>49</v>
      </c>
      <c r="G89" s="24" t="s">
        <v>39</v>
      </c>
      <c r="H89" s="21" t="s">
        <v>34</v>
      </c>
      <c r="I89" s="21" t="str">
        <f t="shared" si="0"/>
        <v>0x00</v>
      </c>
      <c r="J89" s="20" t="str">
        <f>DEC2HEX((K88-MOD(K88,256))/256)</f>
        <v>0</v>
      </c>
      <c r="K89" s="37"/>
      <c r="L89" s="37"/>
    </row>
    <row r="90" spans="1:16" s="20" customFormat="1" x14ac:dyDescent="0.25">
      <c r="A90" s="31" t="s">
        <v>93</v>
      </c>
      <c r="B90" s="32" t="s">
        <v>58</v>
      </c>
      <c r="C90" s="32" t="s">
        <v>52</v>
      </c>
      <c r="D90" s="21" t="s">
        <v>91</v>
      </c>
      <c r="E90" s="21" t="s">
        <v>36</v>
      </c>
      <c r="F90" s="21" t="s">
        <v>41</v>
      </c>
      <c r="G90" s="22" t="s">
        <v>37</v>
      </c>
      <c r="H90" s="21" t="s">
        <v>34</v>
      </c>
      <c r="I90" s="21" t="str">
        <f t="shared" si="0"/>
        <v>0x04</v>
      </c>
      <c r="J90" s="20" t="str">
        <f>DEC2HEX(MOD(K90,256))</f>
        <v>4</v>
      </c>
      <c r="K90" s="37">
        <f>L85-1</f>
        <v>4</v>
      </c>
      <c r="L90" s="37"/>
    </row>
    <row r="91" spans="1:16" s="20" customFormat="1" x14ac:dyDescent="0.25">
      <c r="A91" s="31" t="s">
        <v>93</v>
      </c>
      <c r="B91" s="32" t="s">
        <v>58</v>
      </c>
      <c r="C91" s="32"/>
      <c r="D91" s="21" t="s">
        <v>91</v>
      </c>
      <c r="E91" s="21" t="s">
        <v>36</v>
      </c>
      <c r="F91" s="21" t="s">
        <v>41</v>
      </c>
      <c r="G91" s="24" t="s">
        <v>39</v>
      </c>
      <c r="H91" s="21" t="s">
        <v>34</v>
      </c>
      <c r="I91" s="21" t="str">
        <f t="shared" si="0"/>
        <v>0x00</v>
      </c>
      <c r="J91" s="20" t="str">
        <f>DEC2HEX((K90-MOD(K90,256))/256)</f>
        <v>0</v>
      </c>
      <c r="K91" s="37"/>
      <c r="L91" s="37"/>
    </row>
    <row r="92" spans="1:16" s="20" customFormat="1" x14ac:dyDescent="0.25">
      <c r="A92" s="31" t="s">
        <v>93</v>
      </c>
      <c r="B92" s="32" t="s">
        <v>59</v>
      </c>
      <c r="C92" s="32" t="s">
        <v>52</v>
      </c>
      <c r="D92" s="21" t="s">
        <v>91</v>
      </c>
      <c r="E92" s="21" t="s">
        <v>36</v>
      </c>
      <c r="F92" s="21" t="s">
        <v>67</v>
      </c>
      <c r="G92" s="22" t="s">
        <v>37</v>
      </c>
      <c r="H92" s="21" t="s">
        <v>34</v>
      </c>
      <c r="I92" s="21" t="str">
        <f t="shared" si="0"/>
        <v>0x84</v>
      </c>
      <c r="J92" s="20" t="str">
        <f>DEC2HEX(MOD(K92,256))</f>
        <v>84</v>
      </c>
      <c r="K92" s="37">
        <f>L82+M82</f>
        <v>132</v>
      </c>
      <c r="L92" s="37"/>
    </row>
    <row r="93" spans="1:16" s="20" customFormat="1" x14ac:dyDescent="0.25">
      <c r="A93" s="31" t="s">
        <v>93</v>
      </c>
      <c r="B93" s="32" t="s">
        <v>59</v>
      </c>
      <c r="C93" s="32"/>
      <c r="D93" s="21" t="s">
        <v>91</v>
      </c>
      <c r="E93" s="21" t="s">
        <v>36</v>
      </c>
      <c r="F93" s="21" t="s">
        <v>67</v>
      </c>
      <c r="G93" s="24" t="s">
        <v>39</v>
      </c>
      <c r="H93" s="21" t="s">
        <v>34</v>
      </c>
      <c r="I93" s="21" t="str">
        <f t="shared" si="0"/>
        <v>0x00</v>
      </c>
      <c r="J93" s="20" t="str">
        <f>DEC2HEX((K92-MOD(K92,256))/256)</f>
        <v>0</v>
      </c>
      <c r="K93" s="37"/>
      <c r="L93" s="37"/>
    </row>
    <row r="94" spans="1:16" s="20" customFormat="1" x14ac:dyDescent="0.25">
      <c r="A94" s="31" t="s">
        <v>93</v>
      </c>
      <c r="B94" s="32" t="s">
        <v>60</v>
      </c>
      <c r="C94" s="32" t="s">
        <v>52</v>
      </c>
      <c r="D94" s="21" t="s">
        <v>91</v>
      </c>
      <c r="E94" s="21" t="s">
        <v>36</v>
      </c>
      <c r="F94" s="21" t="s">
        <v>68</v>
      </c>
      <c r="G94" s="22" t="s">
        <v>37</v>
      </c>
      <c r="H94" s="21" t="s">
        <v>34</v>
      </c>
      <c r="I94" s="21" t="str">
        <f>"0x"&amp;TEXT(J94,"00")</f>
        <v>0x53</v>
      </c>
      <c r="J94" s="20" t="str">
        <f>DEC2HEX(MOD(K94,256))</f>
        <v>53</v>
      </c>
      <c r="K94" s="37">
        <f>L82+M82+N82-1</f>
        <v>851</v>
      </c>
      <c r="L94" s="37"/>
    </row>
    <row r="95" spans="1:16" s="20" customFormat="1" x14ac:dyDescent="0.25">
      <c r="A95" s="31" t="s">
        <v>93</v>
      </c>
      <c r="B95" s="32" t="s">
        <v>60</v>
      </c>
      <c r="C95" s="32"/>
      <c r="D95" s="21" t="s">
        <v>91</v>
      </c>
      <c r="E95" s="21" t="s">
        <v>36</v>
      </c>
      <c r="F95" s="21" t="s">
        <v>50</v>
      </c>
      <c r="G95" s="24" t="s">
        <v>39</v>
      </c>
      <c r="H95" s="21" t="s">
        <v>34</v>
      </c>
      <c r="I95" s="21" t="str">
        <f t="shared" si="0"/>
        <v>0x03</v>
      </c>
      <c r="J95" s="20" t="str">
        <f>DEC2HEX((K94-MOD(K94,256))/256)</f>
        <v>3</v>
      </c>
      <c r="K95" s="37"/>
      <c r="L95" s="37"/>
    </row>
    <row r="96" spans="1:16" s="20" customFormat="1" x14ac:dyDescent="0.25">
      <c r="A96" s="31" t="s">
        <v>93</v>
      </c>
      <c r="B96" s="32" t="s">
        <v>61</v>
      </c>
      <c r="C96" s="32" t="s">
        <v>52</v>
      </c>
      <c r="D96" s="21" t="s">
        <v>91</v>
      </c>
      <c r="E96" s="21" t="s">
        <v>36</v>
      </c>
      <c r="F96" s="21" t="s">
        <v>51</v>
      </c>
      <c r="G96" s="22" t="s">
        <v>37</v>
      </c>
      <c r="H96" s="21" t="s">
        <v>34</v>
      </c>
      <c r="I96" s="21" t="str">
        <f t="shared" si="0"/>
        <v>0x2C</v>
      </c>
      <c r="J96" s="20" t="str">
        <f>DEC2HEX(MOD(K96,256))</f>
        <v>2C</v>
      </c>
      <c r="K96" s="37">
        <f>L85+M85</f>
        <v>44</v>
      </c>
      <c r="L96" s="37"/>
    </row>
    <row r="97" spans="1:12" s="20" customFormat="1" x14ac:dyDescent="0.25">
      <c r="A97" s="31" t="s">
        <v>93</v>
      </c>
      <c r="B97" s="32" t="s">
        <v>61</v>
      </c>
      <c r="C97" s="32"/>
      <c r="D97" s="21" t="s">
        <v>91</v>
      </c>
      <c r="E97" s="21" t="s">
        <v>36</v>
      </c>
      <c r="F97" s="21" t="s">
        <v>51</v>
      </c>
      <c r="G97" s="24" t="s">
        <v>39</v>
      </c>
      <c r="H97" s="21" t="s">
        <v>34</v>
      </c>
      <c r="I97" s="21" t="str">
        <f t="shared" si="0"/>
        <v>0x00</v>
      </c>
      <c r="J97" s="20" t="str">
        <f>DEC2HEX((K96-MOD(K96,256))/256)</f>
        <v>0</v>
      </c>
      <c r="K97" s="37"/>
      <c r="L97" s="37"/>
    </row>
    <row r="98" spans="1:12" s="20" customFormat="1" x14ac:dyDescent="0.25">
      <c r="A98" s="31" t="s">
        <v>93</v>
      </c>
      <c r="B98" s="32" t="s">
        <v>62</v>
      </c>
      <c r="C98" s="32" t="s">
        <v>52</v>
      </c>
      <c r="D98" s="21" t="s">
        <v>91</v>
      </c>
      <c r="E98" s="21" t="s">
        <v>36</v>
      </c>
      <c r="F98" s="21" t="s">
        <v>116</v>
      </c>
      <c r="G98" s="22" t="s">
        <v>37</v>
      </c>
      <c r="H98" s="21" t="s">
        <v>34</v>
      </c>
      <c r="I98" s="21" t="str">
        <f t="shared" si="0"/>
        <v>0x6B</v>
      </c>
      <c r="J98" s="20" t="str">
        <f>DEC2HEX(MOD(K98,256))</f>
        <v>6B</v>
      </c>
      <c r="K98" s="37">
        <f>L85+M85+N85-1</f>
        <v>619</v>
      </c>
      <c r="L98" s="37"/>
    </row>
    <row r="99" spans="1:12" s="20" customFormat="1" x14ac:dyDescent="0.25">
      <c r="A99" s="31" t="s">
        <v>93</v>
      </c>
      <c r="B99" s="32" t="s">
        <v>62</v>
      </c>
      <c r="C99" s="32"/>
      <c r="D99" s="21" t="s">
        <v>91</v>
      </c>
      <c r="E99" s="21" t="s">
        <v>36</v>
      </c>
      <c r="F99" s="21" t="s">
        <v>116</v>
      </c>
      <c r="G99" s="24" t="s">
        <v>39</v>
      </c>
      <c r="H99" s="21" t="s">
        <v>34</v>
      </c>
      <c r="I99" s="21" t="str">
        <f t="shared" si="0"/>
        <v>0x02</v>
      </c>
      <c r="J99" s="20" t="str">
        <f>DEC2HEX((K98-MOD(K98,256))/256)</f>
        <v>2</v>
      </c>
      <c r="K99" s="37"/>
      <c r="L99" s="37"/>
    </row>
    <row r="100" spans="1:12" s="20" customFormat="1" x14ac:dyDescent="0.25">
      <c r="A100" s="31" t="s">
        <v>93</v>
      </c>
      <c r="B100" s="55" t="s">
        <v>69</v>
      </c>
      <c r="C100" s="32" t="s">
        <v>52</v>
      </c>
      <c r="D100" s="21" t="s">
        <v>91</v>
      </c>
      <c r="E100" s="21" t="s">
        <v>36</v>
      </c>
      <c r="F100" s="21" t="s">
        <v>115</v>
      </c>
      <c r="G100" s="22" t="s">
        <v>37</v>
      </c>
      <c r="H100" s="21" t="s">
        <v>34</v>
      </c>
      <c r="I100" s="21" t="str">
        <f t="shared" si="0"/>
        <v>0x84</v>
      </c>
      <c r="J100" s="20" t="str">
        <f>J92</f>
        <v>84</v>
      </c>
      <c r="K100" s="37"/>
      <c r="L100" s="37"/>
    </row>
    <row r="101" spans="1:12" s="20" customFormat="1" x14ac:dyDescent="0.25">
      <c r="A101" s="31" t="s">
        <v>93</v>
      </c>
      <c r="B101" s="55" t="s">
        <v>69</v>
      </c>
      <c r="C101" s="32"/>
      <c r="D101" s="21" t="s">
        <v>91</v>
      </c>
      <c r="E101" s="21" t="s">
        <v>36</v>
      </c>
      <c r="F101" s="21" t="s">
        <v>115</v>
      </c>
      <c r="G101" s="24" t="s">
        <v>39</v>
      </c>
      <c r="H101" s="21" t="s">
        <v>34</v>
      </c>
      <c r="I101" s="21" t="str">
        <f t="shared" si="0"/>
        <v>0x00</v>
      </c>
      <c r="J101" s="20" t="str">
        <f t="shared" ref="J101:J107" si="1">J93</f>
        <v>0</v>
      </c>
      <c r="K101" s="37"/>
      <c r="L101" s="37"/>
    </row>
    <row r="102" spans="1:12" s="20" customFormat="1" x14ac:dyDescent="0.25">
      <c r="A102" s="31" t="s">
        <v>93</v>
      </c>
      <c r="B102" s="55" t="s">
        <v>70</v>
      </c>
      <c r="C102" s="32" t="s">
        <v>52</v>
      </c>
      <c r="D102" s="21" t="s">
        <v>91</v>
      </c>
      <c r="E102" s="21" t="s">
        <v>36</v>
      </c>
      <c r="F102" s="21" t="s">
        <v>114</v>
      </c>
      <c r="G102" s="22" t="s">
        <v>37</v>
      </c>
      <c r="H102" s="21" t="s">
        <v>34</v>
      </c>
      <c r="I102" s="21" t="str">
        <f t="shared" si="0"/>
        <v>0x53</v>
      </c>
      <c r="J102" s="20" t="str">
        <f t="shared" si="1"/>
        <v>53</v>
      </c>
      <c r="K102" s="37"/>
      <c r="L102" s="37"/>
    </row>
    <row r="103" spans="1:12" s="20" customFormat="1" x14ac:dyDescent="0.25">
      <c r="A103" s="31" t="s">
        <v>93</v>
      </c>
      <c r="B103" s="55" t="s">
        <v>70</v>
      </c>
      <c r="C103" s="32"/>
      <c r="D103" s="21" t="s">
        <v>91</v>
      </c>
      <c r="E103" s="21" t="s">
        <v>36</v>
      </c>
      <c r="F103" s="21" t="s">
        <v>114</v>
      </c>
      <c r="G103" s="24" t="s">
        <v>39</v>
      </c>
      <c r="H103" s="21" t="s">
        <v>34</v>
      </c>
      <c r="I103" s="21" t="str">
        <f t="shared" si="0"/>
        <v>0x03</v>
      </c>
      <c r="J103" s="20" t="str">
        <f t="shared" si="1"/>
        <v>3</v>
      </c>
      <c r="K103" s="37"/>
      <c r="L103" s="37"/>
    </row>
    <row r="104" spans="1:12" s="20" customFormat="1" x14ac:dyDescent="0.25">
      <c r="A104" s="31" t="s">
        <v>93</v>
      </c>
      <c r="B104" s="55" t="s">
        <v>71</v>
      </c>
      <c r="C104" s="32"/>
      <c r="D104" s="21" t="s">
        <v>91</v>
      </c>
      <c r="E104" s="21" t="s">
        <v>36</v>
      </c>
      <c r="F104" s="21" t="s">
        <v>113</v>
      </c>
      <c r="G104" s="22" t="s">
        <v>37</v>
      </c>
      <c r="H104" s="21" t="s">
        <v>34</v>
      </c>
      <c r="I104" s="21" t="str">
        <f t="shared" si="0"/>
        <v>0x2C</v>
      </c>
      <c r="J104" s="20" t="str">
        <f t="shared" si="1"/>
        <v>2C</v>
      </c>
      <c r="K104" s="37"/>
      <c r="L104" s="37"/>
    </row>
    <row r="105" spans="1:12" s="20" customFormat="1" x14ac:dyDescent="0.25">
      <c r="A105" s="31" t="s">
        <v>93</v>
      </c>
      <c r="B105" s="55" t="s">
        <v>71</v>
      </c>
      <c r="C105" s="32"/>
      <c r="D105" s="21" t="s">
        <v>91</v>
      </c>
      <c r="E105" s="21" t="s">
        <v>36</v>
      </c>
      <c r="F105" s="21" t="s">
        <v>113</v>
      </c>
      <c r="G105" s="24" t="s">
        <v>39</v>
      </c>
      <c r="H105" s="21" t="s">
        <v>34</v>
      </c>
      <c r="I105" s="21" t="str">
        <f t="shared" si="0"/>
        <v>0x00</v>
      </c>
      <c r="J105" s="20" t="str">
        <f t="shared" si="1"/>
        <v>0</v>
      </c>
      <c r="K105" s="37"/>
      <c r="L105" s="37"/>
    </row>
    <row r="106" spans="1:12" s="20" customFormat="1" x14ac:dyDescent="0.25">
      <c r="A106" s="31" t="s">
        <v>93</v>
      </c>
      <c r="B106" s="55" t="s">
        <v>72</v>
      </c>
      <c r="C106" s="32"/>
      <c r="D106" s="21" t="s">
        <v>91</v>
      </c>
      <c r="E106" s="21" t="s">
        <v>36</v>
      </c>
      <c r="F106" s="21" t="s">
        <v>99</v>
      </c>
      <c r="G106" s="22" t="s">
        <v>37</v>
      </c>
      <c r="H106" s="21" t="s">
        <v>34</v>
      </c>
      <c r="I106" s="21" t="str">
        <f t="shared" si="0"/>
        <v>0x6B</v>
      </c>
      <c r="J106" s="20" t="str">
        <f t="shared" si="1"/>
        <v>6B</v>
      </c>
      <c r="K106" s="37"/>
      <c r="L106" s="37"/>
    </row>
    <row r="107" spans="1:12" s="20" customFormat="1" x14ac:dyDescent="0.25">
      <c r="A107" s="31" t="s">
        <v>93</v>
      </c>
      <c r="B107" s="55" t="s">
        <v>72</v>
      </c>
      <c r="C107" s="32"/>
      <c r="D107" s="21" t="s">
        <v>91</v>
      </c>
      <c r="E107" s="21" t="s">
        <v>36</v>
      </c>
      <c r="F107" s="21" t="s">
        <v>42</v>
      </c>
      <c r="G107" s="24" t="s">
        <v>39</v>
      </c>
      <c r="H107" s="21" t="s">
        <v>34</v>
      </c>
      <c r="I107" s="21" t="str">
        <f t="shared" si="0"/>
        <v>0x02</v>
      </c>
      <c r="J107" s="20" t="str">
        <f t="shared" si="1"/>
        <v>2</v>
      </c>
      <c r="K107" s="37"/>
      <c r="L107" s="37"/>
    </row>
    <row r="108" spans="1:12" s="20" customFormat="1" x14ac:dyDescent="0.25">
      <c r="A108" s="31" t="s">
        <v>93</v>
      </c>
      <c r="B108" s="32" t="s">
        <v>73</v>
      </c>
      <c r="C108" s="32" t="s">
        <v>52</v>
      </c>
      <c r="D108" s="21" t="s">
        <v>91</v>
      </c>
      <c r="E108" s="21" t="s">
        <v>36</v>
      </c>
      <c r="F108" s="21" t="s">
        <v>75</v>
      </c>
      <c r="G108" s="22" t="s">
        <v>37</v>
      </c>
      <c r="H108" s="21" t="s">
        <v>34</v>
      </c>
      <c r="I108" s="21" t="str">
        <f t="shared" si="0"/>
        <v>0x00</v>
      </c>
      <c r="J108" s="20" t="str">
        <f>J84</f>
        <v>0</v>
      </c>
      <c r="K108" s="37"/>
      <c r="L108" s="37"/>
    </row>
    <row r="109" spans="1:12" s="20" customFormat="1" x14ac:dyDescent="0.25">
      <c r="A109" s="31" t="s">
        <v>93</v>
      </c>
      <c r="B109" s="32" t="s">
        <v>73</v>
      </c>
      <c r="C109" s="32"/>
      <c r="D109" s="21" t="s">
        <v>91</v>
      </c>
      <c r="E109" s="21" t="s">
        <v>36</v>
      </c>
      <c r="F109" s="21" t="s">
        <v>75</v>
      </c>
      <c r="G109" s="24" t="s">
        <v>39</v>
      </c>
      <c r="H109" s="21" t="s">
        <v>34</v>
      </c>
      <c r="I109" s="21" t="str">
        <f t="shared" si="0"/>
        <v>0x00</v>
      </c>
      <c r="J109" s="20" t="str">
        <f t="shared" ref="J109:J111" si="2">J85</f>
        <v>0</v>
      </c>
      <c r="K109" s="37"/>
      <c r="L109" s="37"/>
    </row>
    <row r="110" spans="1:12" s="20" customFormat="1" x14ac:dyDescent="0.25">
      <c r="A110" s="31" t="s">
        <v>93</v>
      </c>
      <c r="B110" s="32" t="s">
        <v>74</v>
      </c>
      <c r="C110" s="32" t="s">
        <v>52</v>
      </c>
      <c r="D110" s="21" t="s">
        <v>91</v>
      </c>
      <c r="E110" s="21" t="s">
        <v>36</v>
      </c>
      <c r="F110" s="21" t="s">
        <v>44</v>
      </c>
      <c r="G110" s="22" t="s">
        <v>37</v>
      </c>
      <c r="H110" s="21" t="s">
        <v>34</v>
      </c>
      <c r="I110" s="21" t="str">
        <f t="shared" si="0"/>
        <v>0x3F</v>
      </c>
      <c r="J110" s="20" t="str">
        <f t="shared" si="2"/>
        <v>3F</v>
      </c>
      <c r="K110" s="37"/>
      <c r="L110" s="37"/>
    </row>
    <row r="111" spans="1:12" s="20" customFormat="1" x14ac:dyDescent="0.25">
      <c r="A111" s="31" t="s">
        <v>93</v>
      </c>
      <c r="B111" s="32" t="s">
        <v>74</v>
      </c>
      <c r="C111" s="32"/>
      <c r="D111" s="21" t="s">
        <v>91</v>
      </c>
      <c r="E111" s="21" t="s">
        <v>36</v>
      </c>
      <c r="F111" s="21" t="s">
        <v>44</v>
      </c>
      <c r="G111" s="24" t="s">
        <v>39</v>
      </c>
      <c r="H111" s="21" t="s">
        <v>34</v>
      </c>
      <c r="I111" s="21" t="str">
        <f t="shared" si="0"/>
        <v>0x00</v>
      </c>
      <c r="J111" s="20" t="str">
        <f t="shared" si="2"/>
        <v>0</v>
      </c>
      <c r="K111" s="37"/>
      <c r="L111" s="37"/>
    </row>
    <row r="112" spans="1:12" s="20" customFormat="1" x14ac:dyDescent="0.25">
      <c r="A112" s="31" t="s">
        <v>93</v>
      </c>
      <c r="B112" s="32" t="s">
        <v>76</v>
      </c>
      <c r="C112" s="32" t="s">
        <v>52</v>
      </c>
      <c r="D112" s="21" t="s">
        <v>91</v>
      </c>
      <c r="E112" s="21" t="s">
        <v>36</v>
      </c>
      <c r="F112" s="21" t="s">
        <v>80</v>
      </c>
      <c r="G112" s="22" t="s">
        <v>37</v>
      </c>
      <c r="H112" s="21" t="s">
        <v>34</v>
      </c>
      <c r="I112" s="21" t="str">
        <f t="shared" si="0"/>
        <v>0x84</v>
      </c>
      <c r="J112" s="20" t="str">
        <f>J92</f>
        <v>84</v>
      </c>
      <c r="K112" s="37"/>
      <c r="L112" s="37"/>
    </row>
    <row r="113" spans="1:12" s="20" customFormat="1" x14ac:dyDescent="0.25">
      <c r="A113" s="31" t="s">
        <v>93</v>
      </c>
      <c r="B113" s="32" t="s">
        <v>76</v>
      </c>
      <c r="C113" s="32"/>
      <c r="D113" s="21" t="s">
        <v>91</v>
      </c>
      <c r="E113" s="21" t="s">
        <v>36</v>
      </c>
      <c r="F113" s="21" t="s">
        <v>80</v>
      </c>
      <c r="G113" s="24" t="s">
        <v>39</v>
      </c>
      <c r="H113" s="21" t="s">
        <v>34</v>
      </c>
      <c r="I113" s="21" t="str">
        <f t="shared" si="0"/>
        <v>0x00</v>
      </c>
      <c r="J113" s="20" t="str">
        <f t="shared" ref="J113:J119" si="3">J93</f>
        <v>0</v>
      </c>
      <c r="K113" s="37"/>
      <c r="L113" s="37"/>
    </row>
    <row r="114" spans="1:12" s="20" customFormat="1" x14ac:dyDescent="0.25">
      <c r="A114" s="31" t="s">
        <v>93</v>
      </c>
      <c r="B114" s="32" t="s">
        <v>77</v>
      </c>
      <c r="C114" s="32" t="s">
        <v>52</v>
      </c>
      <c r="D114" s="21" t="s">
        <v>91</v>
      </c>
      <c r="E114" s="21" t="s">
        <v>36</v>
      </c>
      <c r="F114" s="21" t="s">
        <v>81</v>
      </c>
      <c r="G114" s="22" t="s">
        <v>37</v>
      </c>
      <c r="H114" s="21" t="s">
        <v>34</v>
      </c>
      <c r="I114" s="21" t="str">
        <f t="shared" si="0"/>
        <v>0x53</v>
      </c>
      <c r="J114" s="20" t="str">
        <f t="shared" si="3"/>
        <v>53</v>
      </c>
      <c r="K114" s="37"/>
      <c r="L114" s="37"/>
    </row>
    <row r="115" spans="1:12" s="20" customFormat="1" x14ac:dyDescent="0.25">
      <c r="A115" s="31" t="s">
        <v>93</v>
      </c>
      <c r="B115" s="32" t="s">
        <v>77</v>
      </c>
      <c r="C115" s="32"/>
      <c r="D115" s="21" t="s">
        <v>91</v>
      </c>
      <c r="E115" s="21" t="s">
        <v>36</v>
      </c>
      <c r="F115" s="21" t="s">
        <v>81</v>
      </c>
      <c r="G115" s="24" t="s">
        <v>39</v>
      </c>
      <c r="H115" s="21" t="s">
        <v>34</v>
      </c>
      <c r="I115" s="21" t="str">
        <f t="shared" si="0"/>
        <v>0x03</v>
      </c>
      <c r="J115" s="20" t="str">
        <f t="shared" si="3"/>
        <v>3</v>
      </c>
      <c r="K115" s="37"/>
      <c r="L115" s="37"/>
    </row>
    <row r="116" spans="1:12" s="20" customFormat="1" x14ac:dyDescent="0.25">
      <c r="A116" s="31" t="s">
        <v>93</v>
      </c>
      <c r="B116" s="32" t="s">
        <v>78</v>
      </c>
      <c r="C116" s="32" t="s">
        <v>52</v>
      </c>
      <c r="D116" s="21" t="s">
        <v>91</v>
      </c>
      <c r="E116" s="21" t="s">
        <v>36</v>
      </c>
      <c r="F116" s="21" t="s">
        <v>82</v>
      </c>
      <c r="G116" s="22" t="s">
        <v>37</v>
      </c>
      <c r="H116" s="21" t="s">
        <v>34</v>
      </c>
      <c r="I116" s="21" t="str">
        <f t="shared" si="0"/>
        <v>0x2C</v>
      </c>
      <c r="J116" s="20" t="str">
        <f t="shared" si="3"/>
        <v>2C</v>
      </c>
      <c r="K116" s="37"/>
      <c r="L116" s="37"/>
    </row>
    <row r="117" spans="1:12" s="20" customFormat="1" x14ac:dyDescent="0.25">
      <c r="A117" s="31" t="s">
        <v>93</v>
      </c>
      <c r="B117" s="32" t="s">
        <v>78</v>
      </c>
      <c r="C117" s="32"/>
      <c r="D117" s="21" t="s">
        <v>91</v>
      </c>
      <c r="E117" s="21" t="s">
        <v>36</v>
      </c>
      <c r="F117" s="21" t="s">
        <v>64</v>
      </c>
      <c r="G117" s="24" t="s">
        <v>39</v>
      </c>
      <c r="H117" s="21" t="s">
        <v>34</v>
      </c>
      <c r="I117" s="21" t="str">
        <f t="shared" si="0"/>
        <v>0x00</v>
      </c>
      <c r="J117" s="20" t="str">
        <f t="shared" si="3"/>
        <v>0</v>
      </c>
      <c r="K117" s="37"/>
      <c r="L117" s="37"/>
    </row>
    <row r="118" spans="1:12" s="20" customFormat="1" x14ac:dyDescent="0.25">
      <c r="A118" s="31" t="s">
        <v>93</v>
      </c>
      <c r="B118" s="32" t="s">
        <v>79</v>
      </c>
      <c r="C118" s="32" t="s">
        <v>52</v>
      </c>
      <c r="D118" s="21" t="s">
        <v>91</v>
      </c>
      <c r="E118" s="21" t="s">
        <v>36</v>
      </c>
      <c r="F118" s="21" t="s">
        <v>112</v>
      </c>
      <c r="G118" s="22" t="s">
        <v>37</v>
      </c>
      <c r="H118" s="21" t="s">
        <v>34</v>
      </c>
      <c r="I118" s="21" t="str">
        <f t="shared" si="0"/>
        <v>0x6B</v>
      </c>
      <c r="J118" s="20" t="str">
        <f t="shared" si="3"/>
        <v>6B</v>
      </c>
      <c r="K118" s="37"/>
      <c r="L118" s="37"/>
    </row>
    <row r="119" spans="1:12" s="20" customFormat="1" x14ac:dyDescent="0.25">
      <c r="A119" s="31" t="s">
        <v>93</v>
      </c>
      <c r="B119" s="32" t="s">
        <v>79</v>
      </c>
      <c r="C119" s="32"/>
      <c r="D119" s="21" t="s">
        <v>91</v>
      </c>
      <c r="E119" s="21" t="s">
        <v>36</v>
      </c>
      <c r="F119" s="21" t="s">
        <v>112</v>
      </c>
      <c r="G119" s="24" t="s">
        <v>39</v>
      </c>
      <c r="H119" s="21" t="s">
        <v>34</v>
      </c>
      <c r="I119" s="21" t="str">
        <f t="shared" si="0"/>
        <v>0x02</v>
      </c>
      <c r="J119" s="20" t="str">
        <f t="shared" si="3"/>
        <v>2</v>
      </c>
      <c r="K119" s="37"/>
      <c r="L119" s="37"/>
    </row>
    <row r="120" spans="1:12" s="20" customFormat="1" x14ac:dyDescent="0.25">
      <c r="A120" s="31" t="s">
        <v>93</v>
      </c>
      <c r="B120" s="32" t="s">
        <v>96</v>
      </c>
      <c r="C120" s="32"/>
      <c r="D120" s="21" t="s">
        <v>91</v>
      </c>
      <c r="E120" s="21" t="s">
        <v>36</v>
      </c>
      <c r="F120" s="21" t="s">
        <v>45</v>
      </c>
      <c r="G120" s="22" t="s">
        <v>37</v>
      </c>
      <c r="H120" s="21" t="s">
        <v>34</v>
      </c>
      <c r="I120" s="21" t="s">
        <v>97</v>
      </c>
      <c r="K120" s="37"/>
      <c r="L120" s="37"/>
    </row>
    <row r="121" spans="1:12" s="20" customFormat="1" x14ac:dyDescent="0.25">
      <c r="A121" s="31" t="s">
        <v>93</v>
      </c>
      <c r="B121" s="32" t="s">
        <v>96</v>
      </c>
      <c r="C121" s="32"/>
      <c r="D121" s="21" t="s">
        <v>91</v>
      </c>
      <c r="E121" s="21" t="s">
        <v>36</v>
      </c>
      <c r="F121" s="21" t="s">
        <v>45</v>
      </c>
      <c r="G121" s="24" t="s">
        <v>39</v>
      </c>
      <c r="H121" s="21" t="s">
        <v>34</v>
      </c>
      <c r="I121" s="21" t="s">
        <v>98</v>
      </c>
      <c r="K121" s="37"/>
      <c r="L121" s="37"/>
    </row>
    <row r="122" spans="1:12" s="20" customFormat="1" x14ac:dyDescent="0.25">
      <c r="A122" s="31" t="s">
        <v>94</v>
      </c>
      <c r="B122" s="55" t="s">
        <v>95</v>
      </c>
      <c r="C122" s="32"/>
      <c r="D122" s="21" t="s">
        <v>90</v>
      </c>
      <c r="E122" s="21" t="s">
        <v>36</v>
      </c>
      <c r="F122" s="21" t="s">
        <v>63</v>
      </c>
      <c r="G122" s="22" t="s">
        <v>37</v>
      </c>
      <c r="H122" s="21" t="s">
        <v>34</v>
      </c>
      <c r="I122" s="21" t="s">
        <v>38</v>
      </c>
      <c r="K122" s="37"/>
      <c r="L122" s="37"/>
    </row>
    <row r="123" spans="1:12" s="20" customFormat="1" x14ac:dyDescent="0.25">
      <c r="A123" s="31" t="s">
        <v>93</v>
      </c>
      <c r="B123" s="55" t="s">
        <v>83</v>
      </c>
      <c r="C123" s="32" t="s">
        <v>84</v>
      </c>
      <c r="D123" s="21" t="s">
        <v>90</v>
      </c>
      <c r="E123" s="21" t="s">
        <v>36</v>
      </c>
      <c r="F123" s="21" t="s">
        <v>38</v>
      </c>
      <c r="G123" s="22" t="s">
        <v>37</v>
      </c>
      <c r="H123" s="21" t="s">
        <v>34</v>
      </c>
      <c r="I123" s="21" t="s">
        <v>38</v>
      </c>
      <c r="K123" s="37"/>
      <c r="L123" s="37"/>
    </row>
    <row r="124" spans="1:12" ht="30" x14ac:dyDescent="0.25">
      <c r="A124" s="50"/>
      <c r="B124" s="51"/>
      <c r="C124" s="52"/>
      <c r="D124" s="80" t="s">
        <v>18</v>
      </c>
      <c r="E124" s="80"/>
      <c r="F124" s="80"/>
      <c r="G124" s="80"/>
      <c r="H124" s="53"/>
      <c r="I124" s="54"/>
      <c r="K124" s="20"/>
      <c r="L124" s="20"/>
    </row>
    <row r="125" spans="1:12" x14ac:dyDescent="0.25">
      <c r="A125" s="20"/>
      <c r="B125" s="44"/>
      <c r="C125" s="20"/>
      <c r="D125" s="20"/>
      <c r="E125" s="20"/>
      <c r="F125" s="30"/>
      <c r="G125" s="30"/>
      <c r="H125" s="30"/>
      <c r="I125" s="39"/>
    </row>
  </sheetData>
  <protectedRanges>
    <protectedRange password="EBC5" sqref="I26:I75" name="範圍1_3_3_1_1_1_2_1_1_2_4"/>
    <protectedRange password="EBC5" sqref="I122:I123 I76:I77 I3:I10 I22:I23" name="範圍1_3_3_1_1_1_2_1_1_2_2_1"/>
    <protectedRange password="EBC5" sqref="I120:I121" name="範圍1_3_3_1_1_1_2_1_1_2_1_2_2"/>
    <protectedRange password="EBC5" sqref="I80:I119" name="範圍1_3_3_1_1_1_2_1_1_2_1_2_1_1"/>
    <protectedRange password="EBC5" sqref="I15:I21" name="範圍1_3_3_1_1_1_2_1_1_2_2_1_1"/>
  </protectedRanges>
  <mergeCells count="9">
    <mergeCell ref="D124:G124"/>
    <mergeCell ref="A24:C24"/>
    <mergeCell ref="A1:C1"/>
    <mergeCell ref="A78:C78"/>
    <mergeCell ref="L80:P80"/>
    <mergeCell ref="A13:C13"/>
    <mergeCell ref="L83:P83"/>
    <mergeCell ref="L86:P86"/>
    <mergeCell ref="L87:P87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B2"/>
  <sheetViews>
    <sheetView workbookViewId="0">
      <selection activeCell="A16" sqref="A8:A16"/>
    </sheetView>
  </sheetViews>
  <sheetFormatPr defaultRowHeight="16.5" x14ac:dyDescent="0.25"/>
  <cols>
    <col min="1" max="1" width="13.5" customWidth="1"/>
    <col min="2" max="2" width="17.75" customWidth="1"/>
  </cols>
  <sheetData>
    <row r="1" spans="1:2" x14ac:dyDescent="0.25">
      <c r="A1" s="25" t="s">
        <v>19</v>
      </c>
      <c r="B1" s="26">
        <v>44131.39775462963</v>
      </c>
    </row>
    <row r="2" spans="1:2" x14ac:dyDescent="0.25">
      <c r="A2" s="25" t="s">
        <v>20</v>
      </c>
      <c r="B2" s="26">
        <v>39630.438530092593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B9"/>
  <sheetViews>
    <sheetView workbookViewId="0">
      <selection activeCell="A4" sqref="A4"/>
    </sheetView>
  </sheetViews>
  <sheetFormatPr defaultRowHeight="16.5" x14ac:dyDescent="0.25"/>
  <cols>
    <col min="1" max="1" width="34.5" bestFit="1" customWidth="1"/>
    <col min="2" max="2" width="12.75" customWidth="1"/>
  </cols>
  <sheetData>
    <row r="1" spans="1:2" ht="27" customHeight="1" x14ac:dyDescent="0.25">
      <c r="A1" s="28" t="s">
        <v>22</v>
      </c>
      <c r="B1" s="29" t="s">
        <v>27</v>
      </c>
    </row>
    <row r="2" spans="1:2" ht="20.25" x14ac:dyDescent="0.25">
      <c r="A2" s="38" t="s">
        <v>205</v>
      </c>
      <c r="B2" s="27" t="s">
        <v>24</v>
      </c>
    </row>
    <row r="3" spans="1:2" ht="20.25" x14ac:dyDescent="0.25">
      <c r="A3" s="38" t="s">
        <v>202</v>
      </c>
      <c r="B3" s="27" t="s">
        <v>111</v>
      </c>
    </row>
    <row r="4" spans="1:2" ht="20.25" x14ac:dyDescent="0.25">
      <c r="A4" s="38" t="s">
        <v>207</v>
      </c>
      <c r="B4" s="27" t="s">
        <v>111</v>
      </c>
    </row>
    <row r="5" spans="1:2" ht="20.25" x14ac:dyDescent="0.25">
      <c r="A5" s="38" t="s">
        <v>101</v>
      </c>
      <c r="B5" s="27" t="s">
        <v>191</v>
      </c>
    </row>
    <row r="6" spans="1:2" ht="20.25" x14ac:dyDescent="0.25">
      <c r="A6" s="12"/>
      <c r="B6" s="12"/>
    </row>
    <row r="7" spans="1:2" ht="20.25" x14ac:dyDescent="0.25">
      <c r="A7" s="12"/>
      <c r="B7" s="12"/>
    </row>
    <row r="8" spans="1:2" ht="20.25" x14ac:dyDescent="0.25">
      <c r="A8" s="12"/>
      <c r="B8" s="12"/>
    </row>
    <row r="9" spans="1:2" ht="20.25" x14ac:dyDescent="0.25">
      <c r="A9" s="12"/>
      <c r="B9" s="12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B3"/>
  <sheetViews>
    <sheetView workbookViewId="0">
      <selection activeCell="A3" sqref="A3"/>
    </sheetView>
  </sheetViews>
  <sheetFormatPr defaultRowHeight="16.5" x14ac:dyDescent="0.25"/>
  <cols>
    <col min="1" max="1" width="34.5" bestFit="1" customWidth="1"/>
    <col min="2" max="2" width="19.5" customWidth="1"/>
  </cols>
  <sheetData>
    <row r="1" spans="1:2" ht="20.25" x14ac:dyDescent="0.25">
      <c r="A1" s="28" t="s">
        <v>30</v>
      </c>
      <c r="B1" s="29" t="s">
        <v>31</v>
      </c>
    </row>
    <row r="2" spans="1:2" ht="20.25" x14ac:dyDescent="0.25">
      <c r="A2" s="41" t="s">
        <v>121</v>
      </c>
      <c r="B2" s="42" t="s">
        <v>32</v>
      </c>
    </row>
    <row r="3" spans="1:2" ht="20.25" x14ac:dyDescent="0.25">
      <c r="A3" s="41" t="s">
        <v>122</v>
      </c>
      <c r="B3" s="42" t="s">
        <v>32</v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Main</vt:lpstr>
      <vt:lpstr>NTSC</vt:lpstr>
      <vt:lpstr>PAL</vt:lpstr>
      <vt:lpstr>EndOfSheet</vt:lpstr>
      <vt:lpstr>IP_Type</vt:lpstr>
      <vt:lpstr>TimingSupport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Icebox Sung(宋秉修)</dc:creator>
  <cp:lastModifiedBy>yu-hsiang.lin (林煜翔)</cp:lastModifiedBy>
  <dcterms:created xsi:type="dcterms:W3CDTF">2014-05-30T01:21:02Z</dcterms:created>
  <dcterms:modified xsi:type="dcterms:W3CDTF">2021-03-25T07:30:04Z</dcterms:modified>
</cp:coreProperties>
</file>