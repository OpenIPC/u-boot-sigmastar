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T:\sstar\scl\scl\regtableToheader\regtable\xls\"/>
    </mc:Choice>
  </mc:AlternateContent>
  <bookViews>
    <workbookView xWindow="0" yWindow="0" windowWidth="28800" windowHeight="12396" tabRatio="914" activeTab="5"/>
  </bookViews>
  <sheets>
    <sheet name="Main" sheetId="1" r:id="rId1"/>
    <sheet name="480_60P" sheetId="60" r:id="rId2"/>
    <sheet name="576_50P" sheetId="72" r:id="rId3"/>
    <sheet name="720_50P" sheetId="85" r:id="rId4"/>
    <sheet name="720_60P" sheetId="61" r:id="rId5"/>
    <sheet name="720_59D97P" sheetId="91" r:id="rId6"/>
    <sheet name="1080_24P" sheetId="86" r:id="rId7"/>
    <sheet name="1080_25P" sheetId="87" r:id="rId8"/>
    <sheet name="1080_30P" sheetId="62" r:id="rId9"/>
    <sheet name="1080_29D94P" sheetId="92" r:id="rId10"/>
    <sheet name="1080_50P" sheetId="64" r:id="rId11"/>
    <sheet name="1080_60P" sheetId="51" r:id="rId12"/>
    <sheet name="1080_59D97P" sheetId="93" r:id="rId13"/>
    <sheet name="2560x1440_30P" sheetId="88" r:id="rId14"/>
    <sheet name="3840x2160_30P" sheetId="89" r:id="rId15"/>
    <sheet name="1024x768_60P" sheetId="65" r:id="rId16"/>
    <sheet name="1280x800_60P" sheetId="69" r:id="rId17"/>
    <sheet name="1280x1024_60P" sheetId="66" r:id="rId18"/>
    <sheet name="1366x768_60P" sheetId="67" r:id="rId19"/>
    <sheet name="1440x900_60P" sheetId="68" r:id="rId20"/>
    <sheet name="1680x1050_60P" sheetId="70" r:id="rId21"/>
    <sheet name="1600x1200_60P" sheetId="71" r:id="rId22"/>
    <sheet name="1920x1200_60P" sheetId="90" r:id="rId23"/>
    <sheet name="EndOfSheet" sheetId="3" r:id="rId24"/>
    <sheet name="IP_Type" sheetId="5" r:id="rId25"/>
    <sheet name="TimingSupport" sheetId="42" r:id="rId26"/>
  </sheets>
  <functionGroups builtInGroupCount="18"/>
  <calcPr calcId="152511"/>
</workbook>
</file>

<file path=xl/calcChain.xml><?xml version="1.0" encoding="utf-8"?>
<calcChain xmlns="http://schemas.openxmlformats.org/spreadsheetml/2006/main">
  <c r="K67" i="93" l="1"/>
  <c r="J68" i="93" s="1"/>
  <c r="J67" i="93"/>
  <c r="I67" i="93" s="1"/>
  <c r="K65" i="93"/>
  <c r="J65" i="93" s="1"/>
  <c r="K63" i="93"/>
  <c r="J63" i="93" s="1"/>
  <c r="J62" i="93"/>
  <c r="J82" i="93" s="1"/>
  <c r="I82" i="93" s="1"/>
  <c r="K61" i="93"/>
  <c r="J61" i="93"/>
  <c r="J81" i="93" s="1"/>
  <c r="I81" i="93" s="1"/>
  <c r="I61" i="93"/>
  <c r="K59" i="93"/>
  <c r="J60" i="93" s="1"/>
  <c r="I60" i="93" s="1"/>
  <c r="J59" i="93"/>
  <c r="I59" i="93" s="1"/>
  <c r="J58" i="93"/>
  <c r="I58" i="93" s="1"/>
  <c r="J57" i="93"/>
  <c r="I57" i="93" s="1"/>
  <c r="K55" i="93"/>
  <c r="J55" i="93" s="1"/>
  <c r="O54" i="93"/>
  <c r="J54" i="93"/>
  <c r="J78" i="93" s="1"/>
  <c r="I78" i="93" s="1"/>
  <c r="J53" i="93"/>
  <c r="J77" i="93" s="1"/>
  <c r="I77" i="93" s="1"/>
  <c r="J52" i="93"/>
  <c r="I52" i="93" s="1"/>
  <c r="O51" i="93"/>
  <c r="K51" i="93"/>
  <c r="J51" i="93"/>
  <c r="I51" i="93" s="1"/>
  <c r="K49" i="93"/>
  <c r="J49" i="93" s="1"/>
  <c r="I49" i="93" s="1"/>
  <c r="K43" i="93"/>
  <c r="K42" i="93"/>
  <c r="J43" i="93" s="1"/>
  <c r="J41" i="93"/>
  <c r="J40" i="93"/>
  <c r="K39" i="93"/>
  <c r="K40" i="93" s="1"/>
  <c r="J39" i="93"/>
  <c r="K27" i="93"/>
  <c r="K24" i="93"/>
  <c r="K19" i="93"/>
  <c r="K18" i="93"/>
  <c r="K17" i="93"/>
  <c r="K67" i="92"/>
  <c r="J68" i="92" s="1"/>
  <c r="J67" i="92"/>
  <c r="I67" i="92" s="1"/>
  <c r="K65" i="92"/>
  <c r="J65" i="92" s="1"/>
  <c r="J64" i="92"/>
  <c r="J84" i="92" s="1"/>
  <c r="I84" i="92" s="1"/>
  <c r="I64" i="92"/>
  <c r="K63" i="92"/>
  <c r="J63" i="92"/>
  <c r="J83" i="92" s="1"/>
  <c r="I83" i="92" s="1"/>
  <c r="J62" i="92"/>
  <c r="J82" i="92" s="1"/>
  <c r="I82" i="92" s="1"/>
  <c r="K61" i="92"/>
  <c r="J61" i="92" s="1"/>
  <c r="K59" i="92"/>
  <c r="J60" i="92" s="1"/>
  <c r="I60" i="92" s="1"/>
  <c r="J59" i="92"/>
  <c r="I59" i="92" s="1"/>
  <c r="J58" i="92"/>
  <c r="I58" i="92" s="1"/>
  <c r="J57" i="92"/>
  <c r="I57" i="92" s="1"/>
  <c r="K55" i="92"/>
  <c r="J55" i="92" s="1"/>
  <c r="O54" i="92"/>
  <c r="J54" i="92"/>
  <c r="J78" i="92" s="1"/>
  <c r="I78" i="92" s="1"/>
  <c r="J53" i="92"/>
  <c r="J77" i="92" s="1"/>
  <c r="I77" i="92" s="1"/>
  <c r="J52" i="92"/>
  <c r="I52" i="92" s="1"/>
  <c r="O51" i="92"/>
  <c r="K51" i="92"/>
  <c r="J51" i="92"/>
  <c r="I51" i="92" s="1"/>
  <c r="K49" i="92"/>
  <c r="J49" i="92" s="1"/>
  <c r="I49" i="92" s="1"/>
  <c r="K27" i="92"/>
  <c r="K24" i="92"/>
  <c r="K19" i="92"/>
  <c r="K18" i="92"/>
  <c r="K17" i="92"/>
  <c r="J78" i="91"/>
  <c r="I78" i="91"/>
  <c r="J68" i="91"/>
  <c r="J88" i="91" s="1"/>
  <c r="I88" i="91" s="1"/>
  <c r="I68" i="91"/>
  <c r="K67" i="91"/>
  <c r="J67" i="91" s="1"/>
  <c r="J66" i="91"/>
  <c r="I66" i="91" s="1"/>
  <c r="K65" i="91"/>
  <c r="J65" i="91"/>
  <c r="J85" i="91" s="1"/>
  <c r="I85" i="91" s="1"/>
  <c r="I65" i="91"/>
  <c r="K63" i="91"/>
  <c r="J64" i="91" s="1"/>
  <c r="J63" i="91"/>
  <c r="J83" i="91" s="1"/>
  <c r="I83" i="91" s="1"/>
  <c r="K61" i="91"/>
  <c r="J61" i="91" s="1"/>
  <c r="J60" i="91"/>
  <c r="I60" i="91"/>
  <c r="K59" i="91"/>
  <c r="J59" i="91" s="1"/>
  <c r="I59" i="91" s="1"/>
  <c r="J58" i="91"/>
  <c r="I58" i="91" s="1"/>
  <c r="J57" i="91"/>
  <c r="I57" i="91"/>
  <c r="J56" i="91"/>
  <c r="I56" i="91" s="1"/>
  <c r="K55" i="91"/>
  <c r="J55" i="91"/>
  <c r="J79" i="91" s="1"/>
  <c r="I79" i="91" s="1"/>
  <c r="I55" i="91"/>
  <c r="O54" i="91"/>
  <c r="J54" i="91"/>
  <c r="I54" i="91"/>
  <c r="J53" i="91"/>
  <c r="J77" i="91" s="1"/>
  <c r="I77" i="91" s="1"/>
  <c r="O51" i="91"/>
  <c r="K51" i="91"/>
  <c r="J52" i="91" s="1"/>
  <c r="I52" i="91" s="1"/>
  <c r="J50" i="91"/>
  <c r="I50" i="91" s="1"/>
  <c r="K49" i="91"/>
  <c r="J49" i="91"/>
  <c r="I49" i="91"/>
  <c r="K27" i="91"/>
  <c r="K24" i="91"/>
  <c r="K19" i="91"/>
  <c r="K18" i="91"/>
  <c r="K17" i="91"/>
  <c r="J83" i="93" l="1"/>
  <c r="I83" i="93" s="1"/>
  <c r="J71" i="93"/>
  <c r="I71" i="93" s="1"/>
  <c r="I63" i="93"/>
  <c r="I65" i="93"/>
  <c r="J85" i="93"/>
  <c r="I85" i="93" s="1"/>
  <c r="J73" i="93"/>
  <c r="I73" i="93" s="1"/>
  <c r="I55" i="93"/>
  <c r="J79" i="93"/>
  <c r="I79" i="93" s="1"/>
  <c r="J88" i="93"/>
  <c r="I88" i="93" s="1"/>
  <c r="J76" i="93"/>
  <c r="I76" i="93" s="1"/>
  <c r="I68" i="93"/>
  <c r="J42" i="93"/>
  <c r="J44" i="93"/>
  <c r="I53" i="93"/>
  <c r="J64" i="93"/>
  <c r="J69" i="93"/>
  <c r="I69" i="93" s="1"/>
  <c r="J75" i="93"/>
  <c r="I75" i="93" s="1"/>
  <c r="J87" i="93"/>
  <c r="I87" i="93" s="1"/>
  <c r="J50" i="93"/>
  <c r="I50" i="93" s="1"/>
  <c r="J56" i="93"/>
  <c r="J66" i="93"/>
  <c r="I54" i="93"/>
  <c r="I62" i="93"/>
  <c r="J70" i="93"/>
  <c r="I70" i="93" s="1"/>
  <c r="I65" i="92"/>
  <c r="J85" i="92"/>
  <c r="I85" i="92" s="1"/>
  <c r="J73" i="92"/>
  <c r="I73" i="92" s="1"/>
  <c r="I55" i="92"/>
  <c r="J79" i="92"/>
  <c r="I79" i="92" s="1"/>
  <c r="I61" i="92"/>
  <c r="J81" i="92"/>
  <c r="I81" i="92" s="1"/>
  <c r="J69" i="92"/>
  <c r="I69" i="92" s="1"/>
  <c r="J88" i="92"/>
  <c r="I88" i="92" s="1"/>
  <c r="J76" i="92"/>
  <c r="I76" i="92" s="1"/>
  <c r="I68" i="92"/>
  <c r="I53" i="92"/>
  <c r="I63" i="92"/>
  <c r="J71" i="92"/>
  <c r="I71" i="92" s="1"/>
  <c r="J75" i="92"/>
  <c r="I75" i="92" s="1"/>
  <c r="J87" i="92"/>
  <c r="I87" i="92" s="1"/>
  <c r="J50" i="92"/>
  <c r="I50" i="92" s="1"/>
  <c r="J56" i="92"/>
  <c r="J66" i="92"/>
  <c r="I54" i="92"/>
  <c r="I62" i="92"/>
  <c r="J70" i="92"/>
  <c r="I70" i="92" s="1"/>
  <c r="J72" i="92"/>
  <c r="I72" i="92" s="1"/>
  <c r="J81" i="91"/>
  <c r="I81" i="91" s="1"/>
  <c r="J69" i="91"/>
  <c r="I69" i="91" s="1"/>
  <c r="I61" i="91"/>
  <c r="I64" i="91"/>
  <c r="J84" i="91"/>
  <c r="I84" i="91" s="1"/>
  <c r="J72" i="91"/>
  <c r="I72" i="91" s="1"/>
  <c r="J87" i="91"/>
  <c r="I87" i="91" s="1"/>
  <c r="J75" i="91"/>
  <c r="I75" i="91" s="1"/>
  <c r="I67" i="91"/>
  <c r="J74" i="91"/>
  <c r="I74" i="91" s="1"/>
  <c r="J76" i="91"/>
  <c r="I76" i="91" s="1"/>
  <c r="J80" i="91"/>
  <c r="I80" i="91" s="1"/>
  <c r="J86" i="91"/>
  <c r="I86" i="91" s="1"/>
  <c r="J51" i="91"/>
  <c r="I51" i="91" s="1"/>
  <c r="J62" i="91"/>
  <c r="I53" i="91"/>
  <c r="I63" i="91"/>
  <c r="J71" i="91"/>
  <c r="I71" i="91" s="1"/>
  <c r="J73" i="91"/>
  <c r="I73" i="91" s="1"/>
  <c r="K42" i="51"/>
  <c r="J44" i="51" s="1"/>
  <c r="J44" i="89"/>
  <c r="K43" i="89"/>
  <c r="J43" i="89"/>
  <c r="K42" i="89"/>
  <c r="J42" i="89"/>
  <c r="K43" i="65"/>
  <c r="K42" i="65"/>
  <c r="J43" i="65" s="1"/>
  <c r="J44" i="69"/>
  <c r="J43" i="69"/>
  <c r="K42" i="69"/>
  <c r="K43" i="69" s="1"/>
  <c r="J42" i="69"/>
  <c r="K42" i="66"/>
  <c r="J44" i="66" s="1"/>
  <c r="J44" i="67"/>
  <c r="K43" i="67"/>
  <c r="J43" i="67"/>
  <c r="K42" i="67"/>
  <c r="J42" i="67"/>
  <c r="K43" i="68"/>
  <c r="K42" i="68"/>
  <c r="J43" i="68" s="1"/>
  <c r="J44" i="70"/>
  <c r="J43" i="70"/>
  <c r="K42" i="70"/>
  <c r="K43" i="70" s="1"/>
  <c r="J42" i="70"/>
  <c r="K42" i="71"/>
  <c r="J44" i="71" s="1"/>
  <c r="J44" i="90"/>
  <c r="K43" i="90"/>
  <c r="J43" i="90"/>
  <c r="K42" i="90"/>
  <c r="J42" i="90"/>
  <c r="K43" i="60"/>
  <c r="K42" i="60"/>
  <c r="J43" i="60" s="1"/>
  <c r="J80" i="93" l="1"/>
  <c r="I80" i="93" s="1"/>
  <c r="I56" i="93"/>
  <c r="J84" i="93"/>
  <c r="I84" i="93" s="1"/>
  <c r="J72" i="93"/>
  <c r="I72" i="93" s="1"/>
  <c r="I64" i="93"/>
  <c r="J86" i="93"/>
  <c r="I86" i="93" s="1"/>
  <c r="J74" i="93"/>
  <c r="I74" i="93" s="1"/>
  <c r="I66" i="93"/>
  <c r="J86" i="92"/>
  <c r="I86" i="92" s="1"/>
  <c r="J74" i="92"/>
  <c r="I74" i="92" s="1"/>
  <c r="I66" i="92"/>
  <c r="J80" i="92"/>
  <c r="I80" i="92" s="1"/>
  <c r="I56" i="92"/>
  <c r="J82" i="91"/>
  <c r="I82" i="91" s="1"/>
  <c r="J70" i="91"/>
  <c r="I70" i="91" s="1"/>
  <c r="I62" i="91"/>
  <c r="J42" i="60"/>
  <c r="J44" i="60"/>
  <c r="J43" i="71"/>
  <c r="J42" i="68"/>
  <c r="J44" i="68"/>
  <c r="J43" i="66"/>
  <c r="J42" i="65"/>
  <c r="J44" i="65"/>
  <c r="J43" i="51"/>
  <c r="K43" i="71"/>
  <c r="K43" i="66"/>
  <c r="K43" i="51"/>
  <c r="J42" i="71"/>
  <c r="J42" i="66"/>
  <c r="J42" i="51"/>
  <c r="K27" i="90"/>
  <c r="K24" i="90"/>
  <c r="K19" i="90"/>
  <c r="K18" i="90"/>
  <c r="K17" i="90"/>
  <c r="K27" i="71"/>
  <c r="K24" i="71"/>
  <c r="K19" i="71"/>
  <c r="K18" i="71"/>
  <c r="K17" i="71"/>
  <c r="K27" i="70"/>
  <c r="K24" i="70"/>
  <c r="K19" i="70"/>
  <c r="K18" i="70"/>
  <c r="K17" i="70"/>
  <c r="K27" i="68"/>
  <c r="K24" i="68"/>
  <c r="K19" i="68"/>
  <c r="K18" i="68"/>
  <c r="K17" i="68"/>
  <c r="K27" i="67"/>
  <c r="K24" i="67"/>
  <c r="K19" i="67"/>
  <c r="K18" i="67"/>
  <c r="K17" i="67"/>
  <c r="K27" i="66"/>
  <c r="K24" i="66"/>
  <c r="K19" i="66"/>
  <c r="K18" i="66"/>
  <c r="K17" i="66"/>
  <c r="K27" i="69"/>
  <c r="K24" i="69"/>
  <c r="K19" i="69"/>
  <c r="K18" i="69"/>
  <c r="K17" i="69"/>
  <c r="K27" i="65"/>
  <c r="K24" i="65"/>
  <c r="K19" i="65"/>
  <c r="K18" i="65"/>
  <c r="K17" i="65"/>
  <c r="K27" i="89"/>
  <c r="K24" i="89"/>
  <c r="K19" i="89"/>
  <c r="K18" i="89"/>
  <c r="K17" i="89"/>
  <c r="K27" i="88"/>
  <c r="K24" i="88"/>
  <c r="K19" i="88"/>
  <c r="K18" i="88"/>
  <c r="K17" i="88"/>
  <c r="K27" i="51"/>
  <c r="K24" i="51"/>
  <c r="K19" i="51"/>
  <c r="K18" i="51"/>
  <c r="K17" i="51"/>
  <c r="K27" i="64"/>
  <c r="K24" i="64"/>
  <c r="K19" i="64"/>
  <c r="K18" i="64"/>
  <c r="K17" i="64"/>
  <c r="K27" i="62"/>
  <c r="K24" i="62"/>
  <c r="K19" i="62"/>
  <c r="K18" i="62"/>
  <c r="K17" i="62"/>
  <c r="K27" i="87"/>
  <c r="K24" i="87"/>
  <c r="K19" i="87"/>
  <c r="K18" i="87"/>
  <c r="K17" i="87"/>
  <c r="K27" i="86"/>
  <c r="K24" i="86"/>
  <c r="K19" i="86"/>
  <c r="K18" i="86"/>
  <c r="K17" i="86"/>
  <c r="K27" i="61"/>
  <c r="K24" i="61"/>
  <c r="K19" i="61"/>
  <c r="K18" i="61"/>
  <c r="K17" i="61"/>
  <c r="K27" i="85"/>
  <c r="K24" i="85"/>
  <c r="K19" i="85"/>
  <c r="K18" i="85"/>
  <c r="K17" i="85"/>
  <c r="K27" i="72"/>
  <c r="K24" i="72"/>
  <c r="K19" i="72"/>
  <c r="K18" i="72"/>
  <c r="K17" i="72"/>
  <c r="K19" i="60"/>
  <c r="K18" i="60"/>
  <c r="K17" i="60"/>
  <c r="K27" i="60"/>
  <c r="O54" i="90" l="1"/>
  <c r="O51" i="90"/>
  <c r="K67" i="90" l="1"/>
  <c r="J68" i="90" s="1"/>
  <c r="I68" i="90" s="1"/>
  <c r="K65" i="90"/>
  <c r="J66" i="90" s="1"/>
  <c r="K63" i="90"/>
  <c r="J63" i="90" s="1"/>
  <c r="K61" i="90"/>
  <c r="J62" i="90" s="1"/>
  <c r="J82" i="90" s="1"/>
  <c r="I82" i="90" s="1"/>
  <c r="K59" i="90"/>
  <c r="J60" i="90" s="1"/>
  <c r="I60" i="90" s="1"/>
  <c r="J59" i="90"/>
  <c r="I59" i="90" s="1"/>
  <c r="J58" i="90"/>
  <c r="I58" i="90" s="1"/>
  <c r="J57" i="90"/>
  <c r="I57" i="90" s="1"/>
  <c r="K55" i="90"/>
  <c r="J56" i="90" s="1"/>
  <c r="J55" i="90"/>
  <c r="I55" i="90" s="1"/>
  <c r="J54" i="90"/>
  <c r="J78" i="90" s="1"/>
  <c r="I78" i="90" s="1"/>
  <c r="J53" i="90"/>
  <c r="J77" i="90" s="1"/>
  <c r="I77" i="90" s="1"/>
  <c r="J52" i="90"/>
  <c r="I52" i="90" s="1"/>
  <c r="K51" i="90"/>
  <c r="J51" i="90" s="1"/>
  <c r="I51" i="90" s="1"/>
  <c r="K49" i="90"/>
  <c r="J50" i="90" s="1"/>
  <c r="I50" i="90" s="1"/>
  <c r="K39" i="90"/>
  <c r="I54" i="90" l="1"/>
  <c r="J61" i="90"/>
  <c r="J81" i="90" s="1"/>
  <c r="I81" i="90" s="1"/>
  <c r="J67" i="90"/>
  <c r="J75" i="90" s="1"/>
  <c r="I75" i="90" s="1"/>
  <c r="I61" i="90"/>
  <c r="J49" i="90"/>
  <c r="I49" i="90" s="1"/>
  <c r="I62" i="90"/>
  <c r="J70" i="90"/>
  <c r="I70" i="90" s="1"/>
  <c r="J65" i="90"/>
  <c r="I65" i="90" s="1"/>
  <c r="J86" i="90"/>
  <c r="I86" i="90" s="1"/>
  <c r="J74" i="90"/>
  <c r="I74" i="90" s="1"/>
  <c r="I66" i="90"/>
  <c r="J80" i="90"/>
  <c r="I80" i="90" s="1"/>
  <c r="I56" i="90"/>
  <c r="J40" i="90"/>
  <c r="K40" i="90"/>
  <c r="J41" i="90"/>
  <c r="J39" i="90"/>
  <c r="J83" i="90"/>
  <c r="I83" i="90" s="1"/>
  <c r="J71" i="90"/>
  <c r="I71" i="90" s="1"/>
  <c r="I63" i="90"/>
  <c r="I53" i="90"/>
  <c r="J64" i="90"/>
  <c r="J69" i="90"/>
  <c r="I69" i="90" s="1"/>
  <c r="J73" i="90"/>
  <c r="I73" i="90" s="1"/>
  <c r="J79" i="90"/>
  <c r="I79" i="90" s="1"/>
  <c r="J76" i="90"/>
  <c r="I76" i="90" s="1"/>
  <c r="J88" i="90"/>
  <c r="I88" i="90" s="1"/>
  <c r="O54" i="88"/>
  <c r="O51" i="88"/>
  <c r="J87" i="90" l="1"/>
  <c r="I87" i="90" s="1"/>
  <c r="I67" i="90"/>
  <c r="J85" i="90"/>
  <c r="I85" i="90" s="1"/>
  <c r="J84" i="90"/>
  <c r="I84" i="90" s="1"/>
  <c r="J72" i="90"/>
  <c r="I72" i="90" s="1"/>
  <c r="I64" i="90"/>
  <c r="K24" i="60"/>
  <c r="O54" i="66"/>
  <c r="O51" i="66"/>
  <c r="K39" i="71"/>
  <c r="K39" i="67"/>
  <c r="K40" i="67" s="1"/>
  <c r="K39" i="66"/>
  <c r="J41" i="66" s="1"/>
  <c r="K39" i="51"/>
  <c r="J39" i="51" s="1"/>
  <c r="K32" i="60" l="1"/>
  <c r="K39" i="68"/>
  <c r="J41" i="68" s="1"/>
  <c r="K39" i="89"/>
  <c r="K40" i="89" s="1"/>
  <c r="J39" i="71"/>
  <c r="K40" i="71"/>
  <c r="J40" i="71"/>
  <c r="J41" i="71"/>
  <c r="K39" i="69"/>
  <c r="J39" i="67"/>
  <c r="J40" i="67"/>
  <c r="K40" i="51"/>
  <c r="J39" i="68"/>
  <c r="K39" i="60"/>
  <c r="J41" i="67"/>
  <c r="J40" i="51"/>
  <c r="K39" i="65"/>
  <c r="J39" i="66"/>
  <c r="K40" i="66"/>
  <c r="J40" i="66"/>
  <c r="K39" i="70"/>
  <c r="J41" i="51"/>
  <c r="K33" i="60"/>
  <c r="O54" i="60"/>
  <c r="O51" i="60"/>
  <c r="J40" i="68" l="1"/>
  <c r="K40" i="68"/>
  <c r="J39" i="89"/>
  <c r="J40" i="89"/>
  <c r="J41" i="89"/>
  <c r="J40" i="65"/>
  <c r="K40" i="65"/>
  <c r="J39" i="65"/>
  <c r="J41" i="65"/>
  <c r="J39" i="70"/>
  <c r="J41" i="70"/>
  <c r="K40" i="70"/>
  <c r="J40" i="70"/>
  <c r="K40" i="60"/>
  <c r="J39" i="60"/>
  <c r="J41" i="60"/>
  <c r="J40" i="60"/>
  <c r="J39" i="69"/>
  <c r="J40" i="69"/>
  <c r="J41" i="69"/>
  <c r="K40" i="69"/>
  <c r="J33" i="60"/>
  <c r="J34" i="60"/>
  <c r="J32" i="60"/>
  <c r="O54" i="89"/>
  <c r="O51" i="89"/>
  <c r="K67" i="89"/>
  <c r="J68" i="89" s="1"/>
  <c r="K65" i="89"/>
  <c r="J65" i="89" s="1"/>
  <c r="K63" i="89"/>
  <c r="J64" i="89" s="1"/>
  <c r="J84" i="89" s="1"/>
  <c r="I84" i="89" s="1"/>
  <c r="K61" i="89"/>
  <c r="J62" i="89" s="1"/>
  <c r="J82" i="89" s="1"/>
  <c r="I82" i="89" s="1"/>
  <c r="K59" i="89"/>
  <c r="J60" i="89" s="1"/>
  <c r="I60" i="89" s="1"/>
  <c r="J58" i="89"/>
  <c r="I58" i="89" s="1"/>
  <c r="J57" i="89"/>
  <c r="I57" i="89" s="1"/>
  <c r="K55" i="89"/>
  <c r="J55" i="89" s="1"/>
  <c r="J54" i="89"/>
  <c r="J78" i="89" s="1"/>
  <c r="I78" i="89" s="1"/>
  <c r="J53" i="89"/>
  <c r="J77" i="89" s="1"/>
  <c r="I77" i="89" s="1"/>
  <c r="K51" i="89"/>
  <c r="J52" i="89" s="1"/>
  <c r="I52" i="89" s="1"/>
  <c r="K49" i="89"/>
  <c r="J49" i="89" s="1"/>
  <c r="I49" i="89" s="1"/>
  <c r="K67" i="88"/>
  <c r="J68" i="88" s="1"/>
  <c r="K65" i="88"/>
  <c r="J65" i="88" s="1"/>
  <c r="J85" i="88" s="1"/>
  <c r="I85" i="88" s="1"/>
  <c r="K63" i="88"/>
  <c r="J64" i="88" s="1"/>
  <c r="K61" i="88"/>
  <c r="J61" i="88" s="1"/>
  <c r="K59" i="88"/>
  <c r="J59" i="88" s="1"/>
  <c r="I59" i="88" s="1"/>
  <c r="J58" i="88"/>
  <c r="I58" i="88" s="1"/>
  <c r="J57" i="88"/>
  <c r="I57" i="88" s="1"/>
  <c r="K55" i="88"/>
  <c r="J55" i="88" s="1"/>
  <c r="J54" i="88"/>
  <c r="J78" i="88" s="1"/>
  <c r="I78" i="88" s="1"/>
  <c r="J53" i="88"/>
  <c r="J77" i="88" s="1"/>
  <c r="I77" i="88" s="1"/>
  <c r="K51" i="88"/>
  <c r="J51" i="88" s="1"/>
  <c r="I51" i="88" s="1"/>
  <c r="K49" i="88"/>
  <c r="J49" i="88" s="1"/>
  <c r="I49" i="88" s="1"/>
  <c r="O54" i="87"/>
  <c r="O51" i="87"/>
  <c r="O54" i="86"/>
  <c r="O51" i="86"/>
  <c r="K67" i="87"/>
  <c r="J68" i="87" s="1"/>
  <c r="K65" i="87"/>
  <c r="J65" i="87" s="1"/>
  <c r="K63" i="87"/>
  <c r="J64" i="87" s="1"/>
  <c r="J84" i="87" s="1"/>
  <c r="I84" i="87" s="1"/>
  <c r="K61" i="87"/>
  <c r="J62" i="87" s="1"/>
  <c r="J82" i="87" s="1"/>
  <c r="I82" i="87" s="1"/>
  <c r="K59" i="87"/>
  <c r="J60" i="87" s="1"/>
  <c r="I60" i="87" s="1"/>
  <c r="J58" i="87"/>
  <c r="I58" i="87" s="1"/>
  <c r="J57" i="87"/>
  <c r="I57" i="87" s="1"/>
  <c r="K55" i="87"/>
  <c r="J55" i="87" s="1"/>
  <c r="J54" i="87"/>
  <c r="J78" i="87" s="1"/>
  <c r="I78" i="87" s="1"/>
  <c r="J53" i="87"/>
  <c r="I53" i="87" s="1"/>
  <c r="K51" i="87"/>
  <c r="J52" i="87" s="1"/>
  <c r="I52" i="87" s="1"/>
  <c r="K49" i="87"/>
  <c r="J49" i="87" s="1"/>
  <c r="I49" i="87" s="1"/>
  <c r="K67" i="86"/>
  <c r="J68" i="86" s="1"/>
  <c r="K65" i="86"/>
  <c r="J65" i="86" s="1"/>
  <c r="K63" i="86"/>
  <c r="J64" i="86" s="1"/>
  <c r="J84" i="86" s="1"/>
  <c r="I84" i="86" s="1"/>
  <c r="K61" i="86"/>
  <c r="J61" i="86" s="1"/>
  <c r="K59" i="86"/>
  <c r="J60" i="86" s="1"/>
  <c r="I60" i="86" s="1"/>
  <c r="J58" i="86"/>
  <c r="I58" i="86" s="1"/>
  <c r="J57" i="86"/>
  <c r="I57" i="86" s="1"/>
  <c r="K55" i="86"/>
  <c r="J55" i="86" s="1"/>
  <c r="J54" i="86"/>
  <c r="J78" i="86" s="1"/>
  <c r="I78" i="86" s="1"/>
  <c r="J53" i="86"/>
  <c r="J77" i="86" s="1"/>
  <c r="I77" i="86" s="1"/>
  <c r="K51" i="86"/>
  <c r="J52" i="86" s="1"/>
  <c r="I52" i="86" s="1"/>
  <c r="K49" i="86"/>
  <c r="J49" i="86" s="1"/>
  <c r="I49" i="86" s="1"/>
  <c r="J51" i="89" l="1"/>
  <c r="I51" i="89" s="1"/>
  <c r="J63" i="87"/>
  <c r="J83" i="87" s="1"/>
  <c r="I83" i="87" s="1"/>
  <c r="J59" i="89"/>
  <c r="I59" i="89" s="1"/>
  <c r="J61" i="87"/>
  <c r="J69" i="87" s="1"/>
  <c r="I69" i="87" s="1"/>
  <c r="J50" i="86"/>
  <c r="I50" i="86" s="1"/>
  <c r="J51" i="87"/>
  <c r="I51" i="87" s="1"/>
  <c r="J61" i="89"/>
  <c r="J67" i="89"/>
  <c r="I67" i="89" s="1"/>
  <c r="J67" i="88"/>
  <c r="J87" i="88" s="1"/>
  <c r="I87" i="88" s="1"/>
  <c r="J63" i="89"/>
  <c r="J83" i="89" s="1"/>
  <c r="I83" i="89" s="1"/>
  <c r="J77" i="87"/>
  <c r="I77" i="87" s="1"/>
  <c r="I53" i="89"/>
  <c r="J66" i="88"/>
  <c r="I66" i="88" s="1"/>
  <c r="I54" i="88"/>
  <c r="J88" i="88"/>
  <c r="I88" i="88" s="1"/>
  <c r="I68" i="88"/>
  <c r="I65" i="88"/>
  <c r="J60" i="88"/>
  <c r="I60" i="88" s="1"/>
  <c r="J79" i="88"/>
  <c r="I79" i="88" s="1"/>
  <c r="I55" i="88"/>
  <c r="J50" i="88"/>
  <c r="I50" i="88" s="1"/>
  <c r="J56" i="88"/>
  <c r="I56" i="88" s="1"/>
  <c r="J52" i="88"/>
  <c r="I52" i="88" s="1"/>
  <c r="J63" i="88"/>
  <c r="J83" i="88" s="1"/>
  <c r="I83" i="88" s="1"/>
  <c r="J71" i="89"/>
  <c r="I71" i="89" s="1"/>
  <c r="I64" i="89"/>
  <c r="J79" i="89"/>
  <c r="I79" i="89" s="1"/>
  <c r="I55" i="89"/>
  <c r="J81" i="88"/>
  <c r="I81" i="88" s="1"/>
  <c r="J69" i="88"/>
  <c r="I69" i="88" s="1"/>
  <c r="I61" i="88"/>
  <c r="J88" i="89"/>
  <c r="I88" i="89" s="1"/>
  <c r="J76" i="89"/>
  <c r="I76" i="89" s="1"/>
  <c r="I68" i="89"/>
  <c r="J84" i="88"/>
  <c r="I84" i="88" s="1"/>
  <c r="J72" i="88"/>
  <c r="I72" i="88" s="1"/>
  <c r="I64" i="88"/>
  <c r="J85" i="89"/>
  <c r="I85" i="89" s="1"/>
  <c r="I65" i="89"/>
  <c r="J73" i="89"/>
  <c r="I73" i="89" s="1"/>
  <c r="J74" i="88"/>
  <c r="I74" i="88" s="1"/>
  <c r="J76" i="88"/>
  <c r="I76" i="88" s="1"/>
  <c r="J69" i="89"/>
  <c r="I69" i="89" s="1"/>
  <c r="J62" i="88"/>
  <c r="J50" i="89"/>
  <c r="I50" i="89" s="1"/>
  <c r="J56" i="89"/>
  <c r="J66" i="89"/>
  <c r="I53" i="88"/>
  <c r="I63" i="88"/>
  <c r="J73" i="88"/>
  <c r="I73" i="88" s="1"/>
  <c r="I54" i="89"/>
  <c r="I62" i="89"/>
  <c r="J70" i="89"/>
  <c r="I70" i="89" s="1"/>
  <c r="J72" i="89"/>
  <c r="I72" i="89" s="1"/>
  <c r="J59" i="87"/>
  <c r="I59" i="87" s="1"/>
  <c r="J67" i="87"/>
  <c r="I67" i="87" s="1"/>
  <c r="I64" i="87"/>
  <c r="J56" i="86"/>
  <c r="J80" i="86" s="1"/>
  <c r="I80" i="86" s="1"/>
  <c r="J63" i="86"/>
  <c r="J83" i="86" s="1"/>
  <c r="I83" i="86" s="1"/>
  <c r="J66" i="86"/>
  <c r="J86" i="86" s="1"/>
  <c r="I86" i="86" s="1"/>
  <c r="I65" i="87"/>
  <c r="J73" i="87"/>
  <c r="I73" i="87" s="1"/>
  <c r="J85" i="87"/>
  <c r="I85" i="87" s="1"/>
  <c r="I55" i="87"/>
  <c r="J79" i="87"/>
  <c r="I79" i="87" s="1"/>
  <c r="J88" i="87"/>
  <c r="I88" i="87" s="1"/>
  <c r="J76" i="87"/>
  <c r="I76" i="87" s="1"/>
  <c r="I68" i="87"/>
  <c r="J50" i="87"/>
  <c r="I50" i="87" s="1"/>
  <c r="J56" i="87"/>
  <c r="J66" i="87"/>
  <c r="I54" i="87"/>
  <c r="I62" i="87"/>
  <c r="J70" i="87"/>
  <c r="I70" i="87" s="1"/>
  <c r="J72" i="87"/>
  <c r="I72" i="87" s="1"/>
  <c r="I55" i="86"/>
  <c r="J79" i="86"/>
  <c r="I79" i="86" s="1"/>
  <c r="J81" i="86"/>
  <c r="I81" i="86" s="1"/>
  <c r="J69" i="86"/>
  <c r="I69" i="86" s="1"/>
  <c r="I61" i="86"/>
  <c r="I65" i="86"/>
  <c r="J85" i="86"/>
  <c r="I85" i="86" s="1"/>
  <c r="J73" i="86"/>
  <c r="I73" i="86" s="1"/>
  <c r="J88" i="86"/>
  <c r="I88" i="86" s="1"/>
  <c r="J76" i="86"/>
  <c r="I76" i="86" s="1"/>
  <c r="I68" i="86"/>
  <c r="J51" i="86"/>
  <c r="I51" i="86" s="1"/>
  <c r="J59" i="86"/>
  <c r="I59" i="86" s="1"/>
  <c r="J62" i="86"/>
  <c r="I64" i="86"/>
  <c r="J67" i="86"/>
  <c r="I53" i="86"/>
  <c r="I56" i="86"/>
  <c r="I63" i="86"/>
  <c r="I54" i="86"/>
  <c r="J72" i="86"/>
  <c r="I72" i="86" s="1"/>
  <c r="I61" i="87" l="1"/>
  <c r="J81" i="87"/>
  <c r="I81" i="87" s="1"/>
  <c r="J71" i="87"/>
  <c r="I71" i="87" s="1"/>
  <c r="I63" i="87"/>
  <c r="J75" i="89"/>
  <c r="I75" i="89" s="1"/>
  <c r="J80" i="88"/>
  <c r="I80" i="88" s="1"/>
  <c r="I63" i="89"/>
  <c r="J87" i="89"/>
  <c r="I87" i="89" s="1"/>
  <c r="J86" i="88"/>
  <c r="I86" i="88" s="1"/>
  <c r="I67" i="88"/>
  <c r="J75" i="88"/>
  <c r="I75" i="88" s="1"/>
  <c r="J81" i="89"/>
  <c r="I81" i="89" s="1"/>
  <c r="I61" i="89"/>
  <c r="J71" i="86"/>
  <c r="I71" i="86" s="1"/>
  <c r="J75" i="87"/>
  <c r="I75" i="87" s="1"/>
  <c r="J87" i="87"/>
  <c r="I87" i="87" s="1"/>
  <c r="J74" i="86"/>
  <c r="I74" i="86" s="1"/>
  <c r="I66" i="86"/>
  <c r="J71" i="88"/>
  <c r="I71" i="88" s="1"/>
  <c r="J82" i="88"/>
  <c r="I82" i="88" s="1"/>
  <c r="I62" i="88"/>
  <c r="J70" i="88"/>
  <c r="I70" i="88" s="1"/>
  <c r="J86" i="89"/>
  <c r="I86" i="89" s="1"/>
  <c r="J74" i="89"/>
  <c r="I74" i="89" s="1"/>
  <c r="I66" i="89"/>
  <c r="J80" i="89"/>
  <c r="I80" i="89" s="1"/>
  <c r="I56" i="89"/>
  <c r="J86" i="87"/>
  <c r="I86" i="87" s="1"/>
  <c r="J74" i="87"/>
  <c r="I74" i="87" s="1"/>
  <c r="I66" i="87"/>
  <c r="J80" i="87"/>
  <c r="I80" i="87" s="1"/>
  <c r="I56" i="87"/>
  <c r="I67" i="86"/>
  <c r="J87" i="86"/>
  <c r="I87" i="86" s="1"/>
  <c r="J75" i="86"/>
  <c r="I75" i="86" s="1"/>
  <c r="J82" i="86"/>
  <c r="I82" i="86" s="1"/>
  <c r="J70" i="86"/>
  <c r="I70" i="86" s="1"/>
  <c r="I62" i="86"/>
  <c r="O54" i="71" l="1"/>
  <c r="O51" i="71"/>
  <c r="O54" i="70"/>
  <c r="O51" i="70"/>
  <c r="O54" i="69"/>
  <c r="O51" i="69"/>
  <c r="O54" i="68"/>
  <c r="O51" i="68"/>
  <c r="O54" i="67"/>
  <c r="O51" i="67"/>
  <c r="O54" i="65"/>
  <c r="O51" i="65"/>
  <c r="O54" i="51"/>
  <c r="O51" i="51"/>
  <c r="O54" i="64"/>
  <c r="O51" i="64"/>
  <c r="O54" i="62"/>
  <c r="O51" i="62"/>
  <c r="O54" i="85"/>
  <c r="O51" i="85"/>
  <c r="K67" i="85"/>
  <c r="J68" i="85" s="1"/>
  <c r="K65" i="85"/>
  <c r="J65" i="85" s="1"/>
  <c r="K63" i="85"/>
  <c r="J63" i="85" s="1"/>
  <c r="K61" i="85"/>
  <c r="J61" i="85" s="1"/>
  <c r="K59" i="85"/>
  <c r="J60" i="85" s="1"/>
  <c r="I60" i="85" s="1"/>
  <c r="J58" i="85"/>
  <c r="I58" i="85" s="1"/>
  <c r="J57" i="85"/>
  <c r="I57" i="85" s="1"/>
  <c r="K55" i="85"/>
  <c r="J55" i="85" s="1"/>
  <c r="J54" i="85"/>
  <c r="J78" i="85" s="1"/>
  <c r="I78" i="85" s="1"/>
  <c r="J53" i="85"/>
  <c r="J77" i="85" s="1"/>
  <c r="I77" i="85" s="1"/>
  <c r="K51" i="85"/>
  <c r="J52" i="85" s="1"/>
  <c r="I52" i="85" s="1"/>
  <c r="K49" i="85"/>
  <c r="J49" i="85" s="1"/>
  <c r="I49" i="85" s="1"/>
  <c r="O54" i="72"/>
  <c r="O51" i="72"/>
  <c r="K67" i="72"/>
  <c r="J68" i="72" s="1"/>
  <c r="K65" i="72"/>
  <c r="J65" i="72" s="1"/>
  <c r="K63" i="72"/>
  <c r="J64" i="72" s="1"/>
  <c r="K61" i="72"/>
  <c r="J62" i="72" s="1"/>
  <c r="J82" i="72" s="1"/>
  <c r="I82" i="72" s="1"/>
  <c r="K59" i="72"/>
  <c r="J60" i="72" s="1"/>
  <c r="I60" i="72" s="1"/>
  <c r="J58" i="72"/>
  <c r="I58" i="72" s="1"/>
  <c r="J57" i="72"/>
  <c r="I57" i="72" s="1"/>
  <c r="K55" i="72"/>
  <c r="J55" i="72" s="1"/>
  <c r="J54" i="72"/>
  <c r="J78" i="72" s="1"/>
  <c r="I78" i="72" s="1"/>
  <c r="J53" i="72"/>
  <c r="J77" i="72" s="1"/>
  <c r="I77" i="72" s="1"/>
  <c r="K51" i="72"/>
  <c r="J52" i="72" s="1"/>
  <c r="I52" i="72" s="1"/>
  <c r="K49" i="72"/>
  <c r="J49" i="72" s="1"/>
  <c r="I49" i="72" s="1"/>
  <c r="O54" i="61"/>
  <c r="O51" i="61"/>
  <c r="J58" i="61"/>
  <c r="I58" i="61" s="1"/>
  <c r="J57" i="61"/>
  <c r="I57" i="61" s="1"/>
  <c r="J54" i="61"/>
  <c r="J78" i="61" s="1"/>
  <c r="I78" i="61" s="1"/>
  <c r="J53" i="61"/>
  <c r="I53" i="61" s="1"/>
  <c r="J58" i="51"/>
  <c r="I58" i="51" s="1"/>
  <c r="J57" i="51"/>
  <c r="I57" i="51" s="1"/>
  <c r="J54" i="51"/>
  <c r="J78" i="51" s="1"/>
  <c r="I78" i="51" s="1"/>
  <c r="J53" i="51"/>
  <c r="I53" i="51" s="1"/>
  <c r="J58" i="62"/>
  <c r="I58" i="62" s="1"/>
  <c r="J57" i="62"/>
  <c r="I57" i="62" s="1"/>
  <c r="J54" i="62"/>
  <c r="I54" i="62" s="1"/>
  <c r="J53" i="62"/>
  <c r="I53" i="62" s="1"/>
  <c r="J58" i="64"/>
  <c r="I58" i="64" s="1"/>
  <c r="J57" i="64"/>
  <c r="I57" i="64" s="1"/>
  <c r="J54" i="64"/>
  <c r="J78" i="64" s="1"/>
  <c r="I78" i="64" s="1"/>
  <c r="J53" i="64"/>
  <c r="J77" i="64" s="1"/>
  <c r="I77" i="64" s="1"/>
  <c r="J58" i="65"/>
  <c r="I58" i="65" s="1"/>
  <c r="J57" i="65"/>
  <c r="I57" i="65" s="1"/>
  <c r="J54" i="65"/>
  <c r="J78" i="65" s="1"/>
  <c r="I78" i="65" s="1"/>
  <c r="J53" i="65"/>
  <c r="I53" i="65" s="1"/>
  <c r="J58" i="66"/>
  <c r="I58" i="66" s="1"/>
  <c r="J57" i="66"/>
  <c r="I57" i="66" s="1"/>
  <c r="J54" i="66"/>
  <c r="J78" i="66" s="1"/>
  <c r="I78" i="66" s="1"/>
  <c r="J53" i="66"/>
  <c r="I53" i="66" s="1"/>
  <c r="J58" i="67"/>
  <c r="I58" i="67" s="1"/>
  <c r="J57" i="67"/>
  <c r="I57" i="67" s="1"/>
  <c r="J54" i="67"/>
  <c r="J78" i="67" s="1"/>
  <c r="I78" i="67" s="1"/>
  <c r="J53" i="67"/>
  <c r="I53" i="67" s="1"/>
  <c r="J58" i="68"/>
  <c r="I58" i="68" s="1"/>
  <c r="J57" i="68"/>
  <c r="I57" i="68" s="1"/>
  <c r="J54" i="68"/>
  <c r="J78" i="68" s="1"/>
  <c r="I78" i="68" s="1"/>
  <c r="J53" i="68"/>
  <c r="J77" i="68" s="1"/>
  <c r="I77" i="68" s="1"/>
  <c r="J58" i="69"/>
  <c r="I58" i="69" s="1"/>
  <c r="J57" i="69"/>
  <c r="I57" i="69" s="1"/>
  <c r="J54" i="69"/>
  <c r="J78" i="69" s="1"/>
  <c r="I78" i="69" s="1"/>
  <c r="J53" i="69"/>
  <c r="I53" i="69" s="1"/>
  <c r="J58" i="70"/>
  <c r="I58" i="70" s="1"/>
  <c r="J57" i="70"/>
  <c r="I57" i="70" s="1"/>
  <c r="J54" i="70"/>
  <c r="J78" i="70" s="1"/>
  <c r="I78" i="70" s="1"/>
  <c r="J53" i="70"/>
  <c r="I53" i="70" s="1"/>
  <c r="J58" i="71"/>
  <c r="I58" i="71" s="1"/>
  <c r="J57" i="71"/>
  <c r="I57" i="71" s="1"/>
  <c r="J54" i="71"/>
  <c r="J78" i="71" s="1"/>
  <c r="I78" i="71" s="1"/>
  <c r="J53" i="71"/>
  <c r="I53" i="71" s="1"/>
  <c r="J58" i="60"/>
  <c r="I58" i="60" s="1"/>
  <c r="J57" i="60"/>
  <c r="I57" i="60" s="1"/>
  <c r="J54" i="60"/>
  <c r="I54" i="60" s="1"/>
  <c r="J53" i="60"/>
  <c r="J77" i="60" s="1"/>
  <c r="I77" i="60" s="1"/>
  <c r="K67" i="61"/>
  <c r="J67" i="61" s="1"/>
  <c r="K65" i="61"/>
  <c r="J66" i="61" s="1"/>
  <c r="K63" i="61"/>
  <c r="J63" i="61" s="1"/>
  <c r="K61" i="61"/>
  <c r="J62" i="61" s="1"/>
  <c r="K59" i="61"/>
  <c r="J59" i="61" s="1"/>
  <c r="I59" i="61" s="1"/>
  <c r="K55" i="61"/>
  <c r="J55" i="61" s="1"/>
  <c r="K51" i="61"/>
  <c r="J51" i="61" s="1"/>
  <c r="I51" i="61" s="1"/>
  <c r="K49" i="61"/>
  <c r="J50" i="61" s="1"/>
  <c r="I50" i="61" s="1"/>
  <c r="K67" i="51"/>
  <c r="J67" i="51" s="1"/>
  <c r="K65" i="51"/>
  <c r="J66" i="51" s="1"/>
  <c r="K63" i="51"/>
  <c r="J63" i="51" s="1"/>
  <c r="K61" i="51"/>
  <c r="J62" i="51" s="1"/>
  <c r="K59" i="51"/>
  <c r="J59" i="51" s="1"/>
  <c r="I59" i="51" s="1"/>
  <c r="K55" i="51"/>
  <c r="J55" i="51" s="1"/>
  <c r="K51" i="51"/>
  <c r="J51" i="51" s="1"/>
  <c r="I51" i="51" s="1"/>
  <c r="K49" i="51"/>
  <c r="J50" i="51" s="1"/>
  <c r="I50" i="51" s="1"/>
  <c r="K67" i="62"/>
  <c r="J67" i="62" s="1"/>
  <c r="K65" i="62"/>
  <c r="J66" i="62" s="1"/>
  <c r="K63" i="62"/>
  <c r="J63" i="62" s="1"/>
  <c r="K61" i="62"/>
  <c r="J62" i="62" s="1"/>
  <c r="K59" i="62"/>
  <c r="J59" i="62" s="1"/>
  <c r="I59" i="62" s="1"/>
  <c r="K55" i="62"/>
  <c r="J55" i="62" s="1"/>
  <c r="K51" i="62"/>
  <c r="J51" i="62" s="1"/>
  <c r="I51" i="62" s="1"/>
  <c r="K49" i="62"/>
  <c r="J50" i="62" s="1"/>
  <c r="I50" i="62" s="1"/>
  <c r="K67" i="64"/>
  <c r="J67" i="64" s="1"/>
  <c r="K65" i="64"/>
  <c r="J66" i="64" s="1"/>
  <c r="K63" i="64"/>
  <c r="J63" i="64" s="1"/>
  <c r="K61" i="64"/>
  <c r="J62" i="64" s="1"/>
  <c r="K59" i="64"/>
  <c r="J59" i="64" s="1"/>
  <c r="I59" i="64" s="1"/>
  <c r="K55" i="64"/>
  <c r="J55" i="64" s="1"/>
  <c r="K51" i="64"/>
  <c r="J51" i="64" s="1"/>
  <c r="I51" i="64" s="1"/>
  <c r="K49" i="64"/>
  <c r="J50" i="64" s="1"/>
  <c r="I50" i="64" s="1"/>
  <c r="K67" i="65"/>
  <c r="J67" i="65" s="1"/>
  <c r="K65" i="65"/>
  <c r="J66" i="65" s="1"/>
  <c r="K63" i="65"/>
  <c r="J63" i="65" s="1"/>
  <c r="K61" i="65"/>
  <c r="J62" i="65" s="1"/>
  <c r="K59" i="65"/>
  <c r="J59" i="65" s="1"/>
  <c r="I59" i="65" s="1"/>
  <c r="K55" i="65"/>
  <c r="J55" i="65" s="1"/>
  <c r="K51" i="65"/>
  <c r="J51" i="65" s="1"/>
  <c r="I51" i="65" s="1"/>
  <c r="K49" i="65"/>
  <c r="J50" i="65" s="1"/>
  <c r="I50" i="65" s="1"/>
  <c r="K67" i="66"/>
  <c r="J67" i="66" s="1"/>
  <c r="K65" i="66"/>
  <c r="J66" i="66" s="1"/>
  <c r="K63" i="66"/>
  <c r="J63" i="66" s="1"/>
  <c r="K61" i="66"/>
  <c r="J62" i="66" s="1"/>
  <c r="K59" i="66"/>
  <c r="J59" i="66" s="1"/>
  <c r="I59" i="66" s="1"/>
  <c r="K55" i="66"/>
  <c r="J55" i="66" s="1"/>
  <c r="K51" i="66"/>
  <c r="J51" i="66" s="1"/>
  <c r="I51" i="66" s="1"/>
  <c r="K49" i="66"/>
  <c r="J50" i="66" s="1"/>
  <c r="I50" i="66" s="1"/>
  <c r="K67" i="67"/>
  <c r="J67" i="67" s="1"/>
  <c r="K65" i="67"/>
  <c r="J66" i="67" s="1"/>
  <c r="K63" i="67"/>
  <c r="J63" i="67" s="1"/>
  <c r="K61" i="67"/>
  <c r="J62" i="67" s="1"/>
  <c r="K59" i="67"/>
  <c r="J59" i="67" s="1"/>
  <c r="I59" i="67" s="1"/>
  <c r="K55" i="67"/>
  <c r="J55" i="67" s="1"/>
  <c r="K51" i="67"/>
  <c r="J51" i="67" s="1"/>
  <c r="I51" i="67" s="1"/>
  <c r="K49" i="67"/>
  <c r="J50" i="67" s="1"/>
  <c r="I50" i="67" s="1"/>
  <c r="K67" i="68"/>
  <c r="J67" i="68" s="1"/>
  <c r="K65" i="68"/>
  <c r="J66" i="68" s="1"/>
  <c r="K63" i="68"/>
  <c r="J63" i="68" s="1"/>
  <c r="K61" i="68"/>
  <c r="J62" i="68" s="1"/>
  <c r="K59" i="68"/>
  <c r="J59" i="68" s="1"/>
  <c r="I59" i="68" s="1"/>
  <c r="K55" i="68"/>
  <c r="J55" i="68" s="1"/>
  <c r="K51" i="68"/>
  <c r="J51" i="68" s="1"/>
  <c r="I51" i="68" s="1"/>
  <c r="K49" i="68"/>
  <c r="J50" i="68" s="1"/>
  <c r="I50" i="68" s="1"/>
  <c r="K67" i="69"/>
  <c r="J67" i="69" s="1"/>
  <c r="K65" i="69"/>
  <c r="J66" i="69" s="1"/>
  <c r="K63" i="69"/>
  <c r="J63" i="69" s="1"/>
  <c r="K61" i="69"/>
  <c r="J62" i="69" s="1"/>
  <c r="K59" i="69"/>
  <c r="J59" i="69" s="1"/>
  <c r="I59" i="69" s="1"/>
  <c r="K55" i="69"/>
  <c r="J55" i="69" s="1"/>
  <c r="K51" i="69"/>
  <c r="J51" i="69" s="1"/>
  <c r="I51" i="69" s="1"/>
  <c r="K49" i="69"/>
  <c r="J50" i="69" s="1"/>
  <c r="I50" i="69" s="1"/>
  <c r="K67" i="70"/>
  <c r="J67" i="70" s="1"/>
  <c r="K65" i="70"/>
  <c r="J66" i="70" s="1"/>
  <c r="K63" i="70"/>
  <c r="J63" i="70" s="1"/>
  <c r="K61" i="70"/>
  <c r="J62" i="70" s="1"/>
  <c r="K59" i="70"/>
  <c r="J59" i="70" s="1"/>
  <c r="I59" i="70" s="1"/>
  <c r="K55" i="70"/>
  <c r="J55" i="70" s="1"/>
  <c r="K51" i="70"/>
  <c r="J51" i="70" s="1"/>
  <c r="I51" i="70" s="1"/>
  <c r="K49" i="70"/>
  <c r="J50" i="70" s="1"/>
  <c r="I50" i="70" s="1"/>
  <c r="K67" i="71"/>
  <c r="J67" i="71" s="1"/>
  <c r="K65" i="71"/>
  <c r="J66" i="71" s="1"/>
  <c r="K63" i="71"/>
  <c r="J63" i="71" s="1"/>
  <c r="K61" i="71"/>
  <c r="J62" i="71" s="1"/>
  <c r="K59" i="71"/>
  <c r="J59" i="71" s="1"/>
  <c r="I59" i="71" s="1"/>
  <c r="K55" i="71"/>
  <c r="J55" i="71" s="1"/>
  <c r="K51" i="71"/>
  <c r="J51" i="71" s="1"/>
  <c r="I51" i="71" s="1"/>
  <c r="K49" i="71"/>
  <c r="J50" i="71" s="1"/>
  <c r="I50" i="71" s="1"/>
  <c r="K67" i="60"/>
  <c r="J67" i="60" s="1"/>
  <c r="K65" i="60"/>
  <c r="J66" i="60" s="1"/>
  <c r="K63" i="60"/>
  <c r="J63" i="60" s="1"/>
  <c r="K61" i="60"/>
  <c r="J62" i="60" s="1"/>
  <c r="K59" i="60"/>
  <c r="J59" i="60" s="1"/>
  <c r="I59" i="60" s="1"/>
  <c r="K55" i="60"/>
  <c r="J55" i="60" s="1"/>
  <c r="K51" i="60"/>
  <c r="J51" i="60" s="1"/>
  <c r="I51" i="60" s="1"/>
  <c r="K49" i="60"/>
  <c r="J50" i="60" s="1"/>
  <c r="I50" i="60" s="1"/>
  <c r="J67" i="85" l="1"/>
  <c r="I67" i="85" s="1"/>
  <c r="J78" i="62"/>
  <c r="I78" i="62" s="1"/>
  <c r="J52" i="60"/>
  <c r="I52" i="60" s="1"/>
  <c r="J63" i="72"/>
  <c r="J83" i="72" s="1"/>
  <c r="I83" i="72" s="1"/>
  <c r="J64" i="64"/>
  <c r="J72" i="64" s="1"/>
  <c r="I72" i="64" s="1"/>
  <c r="I54" i="65"/>
  <c r="J77" i="62"/>
  <c r="I77" i="62" s="1"/>
  <c r="I54" i="69"/>
  <c r="J52" i="61"/>
  <c r="I52" i="61" s="1"/>
  <c r="I54" i="68"/>
  <c r="J78" i="60"/>
  <c r="I78" i="60" s="1"/>
  <c r="I53" i="72"/>
  <c r="J61" i="72"/>
  <c r="J81" i="72" s="1"/>
  <c r="I81" i="72" s="1"/>
  <c r="J51" i="85"/>
  <c r="I51" i="85" s="1"/>
  <c r="J64" i="60"/>
  <c r="J84" i="60" s="1"/>
  <c r="I84" i="60" s="1"/>
  <c r="I53" i="60"/>
  <c r="I54" i="71"/>
  <c r="I54" i="67"/>
  <c r="I54" i="61"/>
  <c r="J56" i="60"/>
  <c r="J80" i="60" s="1"/>
  <c r="I80" i="60" s="1"/>
  <c r="J52" i="65"/>
  <c r="I52" i="65" s="1"/>
  <c r="I54" i="70"/>
  <c r="I54" i="66"/>
  <c r="I54" i="64"/>
  <c r="I54" i="51"/>
  <c r="J77" i="71"/>
  <c r="I77" i="71" s="1"/>
  <c r="J64" i="65"/>
  <c r="J72" i="65" s="1"/>
  <c r="I72" i="65" s="1"/>
  <c r="J56" i="64"/>
  <c r="I56" i="64" s="1"/>
  <c r="J52" i="62"/>
  <c r="I52" i="62" s="1"/>
  <c r="J56" i="51"/>
  <c r="J80" i="51" s="1"/>
  <c r="I80" i="51" s="1"/>
  <c r="J77" i="70"/>
  <c r="I77" i="70" s="1"/>
  <c r="J77" i="66"/>
  <c r="I77" i="66" s="1"/>
  <c r="J77" i="51"/>
  <c r="I77" i="51" s="1"/>
  <c r="J52" i="64"/>
  <c r="I52" i="64" s="1"/>
  <c r="J52" i="51"/>
  <c r="I52" i="51" s="1"/>
  <c r="J64" i="61"/>
  <c r="J84" i="61" s="1"/>
  <c r="I84" i="61" s="1"/>
  <c r="J77" i="69"/>
  <c r="I77" i="69" s="1"/>
  <c r="J77" i="65"/>
  <c r="I77" i="65" s="1"/>
  <c r="J77" i="61"/>
  <c r="I77" i="61" s="1"/>
  <c r="J77" i="67"/>
  <c r="I77" i="67" s="1"/>
  <c r="J56" i="61"/>
  <c r="I56" i="61" s="1"/>
  <c r="I53" i="68"/>
  <c r="I53" i="64"/>
  <c r="I53" i="85"/>
  <c r="J81" i="85"/>
  <c r="I81" i="85" s="1"/>
  <c r="I61" i="85"/>
  <c r="J62" i="85"/>
  <c r="J82" i="85" s="1"/>
  <c r="I82" i="85" s="1"/>
  <c r="J52" i="71"/>
  <c r="I52" i="71" s="1"/>
  <c r="J52" i="70"/>
  <c r="I52" i="70" s="1"/>
  <c r="J52" i="69"/>
  <c r="I52" i="69" s="1"/>
  <c r="J64" i="69"/>
  <c r="I64" i="69" s="1"/>
  <c r="J56" i="68"/>
  <c r="J80" i="68" s="1"/>
  <c r="I80" i="68" s="1"/>
  <c r="J52" i="68"/>
  <c r="I52" i="68" s="1"/>
  <c r="J52" i="67"/>
  <c r="I52" i="67" s="1"/>
  <c r="J52" i="66"/>
  <c r="I52" i="66" s="1"/>
  <c r="J64" i="70"/>
  <c r="I64" i="70" s="1"/>
  <c r="J56" i="69"/>
  <c r="J64" i="66"/>
  <c r="I64" i="66" s="1"/>
  <c r="J56" i="65"/>
  <c r="J80" i="65" s="1"/>
  <c r="I80" i="65" s="1"/>
  <c r="J64" i="71"/>
  <c r="J84" i="71" s="1"/>
  <c r="I84" i="71" s="1"/>
  <c r="J56" i="70"/>
  <c r="J80" i="70" s="1"/>
  <c r="I80" i="70" s="1"/>
  <c r="J64" i="67"/>
  <c r="I64" i="67" s="1"/>
  <c r="J56" i="66"/>
  <c r="J80" i="66" s="1"/>
  <c r="I80" i="66" s="1"/>
  <c r="J56" i="71"/>
  <c r="J80" i="71" s="1"/>
  <c r="I80" i="71" s="1"/>
  <c r="J64" i="68"/>
  <c r="I64" i="68" s="1"/>
  <c r="J56" i="67"/>
  <c r="I56" i="67" s="1"/>
  <c r="J64" i="51"/>
  <c r="I64" i="51" s="1"/>
  <c r="J64" i="62"/>
  <c r="J84" i="62" s="1"/>
  <c r="I84" i="62" s="1"/>
  <c r="J56" i="62"/>
  <c r="J80" i="62" s="1"/>
  <c r="I80" i="62" s="1"/>
  <c r="J59" i="85"/>
  <c r="I59" i="85" s="1"/>
  <c r="J64" i="85"/>
  <c r="J72" i="85" s="1"/>
  <c r="I72" i="85" s="1"/>
  <c r="I65" i="85"/>
  <c r="J85" i="85"/>
  <c r="I85" i="85" s="1"/>
  <c r="J73" i="85"/>
  <c r="I73" i="85" s="1"/>
  <c r="I55" i="85"/>
  <c r="J79" i="85"/>
  <c r="I79" i="85" s="1"/>
  <c r="J83" i="85"/>
  <c r="I83" i="85" s="1"/>
  <c r="J71" i="85"/>
  <c r="I71" i="85" s="1"/>
  <c r="I63" i="85"/>
  <c r="J88" i="85"/>
  <c r="I88" i="85" s="1"/>
  <c r="J76" i="85"/>
  <c r="I76" i="85" s="1"/>
  <c r="I68" i="85"/>
  <c r="J69" i="85"/>
  <c r="I69" i="85" s="1"/>
  <c r="J75" i="85"/>
  <c r="I75" i="85" s="1"/>
  <c r="J87" i="85"/>
  <c r="I87" i="85" s="1"/>
  <c r="J50" i="85"/>
  <c r="I50" i="85" s="1"/>
  <c r="J56" i="85"/>
  <c r="J66" i="85"/>
  <c r="I54" i="85"/>
  <c r="J84" i="72"/>
  <c r="I84" i="72" s="1"/>
  <c r="I64" i="72"/>
  <c r="J51" i="72"/>
  <c r="I51" i="72" s="1"/>
  <c r="I61" i="72"/>
  <c r="J59" i="72"/>
  <c r="I59" i="72" s="1"/>
  <c r="J67" i="72"/>
  <c r="I67" i="72" s="1"/>
  <c r="J85" i="72"/>
  <c r="I85" i="72" s="1"/>
  <c r="J73" i="72"/>
  <c r="I73" i="72" s="1"/>
  <c r="I65" i="72"/>
  <c r="I55" i="72"/>
  <c r="J79" i="72"/>
  <c r="I79" i="72" s="1"/>
  <c r="J88" i="72"/>
  <c r="I88" i="72" s="1"/>
  <c r="J76" i="72"/>
  <c r="I76" i="72" s="1"/>
  <c r="I68" i="72"/>
  <c r="J56" i="72"/>
  <c r="J50" i="72"/>
  <c r="I50" i="72" s="1"/>
  <c r="J66" i="72"/>
  <c r="I54" i="72"/>
  <c r="I62" i="72"/>
  <c r="J70" i="72"/>
  <c r="I70" i="72" s="1"/>
  <c r="J72" i="72"/>
  <c r="I72" i="72" s="1"/>
  <c r="J87" i="60"/>
  <c r="I87" i="60" s="1"/>
  <c r="J75" i="60"/>
  <c r="I75" i="60" s="1"/>
  <c r="I67" i="60"/>
  <c r="J87" i="69"/>
  <c r="I87" i="69" s="1"/>
  <c r="J75" i="69"/>
  <c r="I75" i="69" s="1"/>
  <c r="I67" i="69"/>
  <c r="J75" i="68"/>
  <c r="I75" i="68" s="1"/>
  <c r="I67" i="68"/>
  <c r="J87" i="68"/>
  <c r="I87" i="68" s="1"/>
  <c r="J87" i="62"/>
  <c r="I87" i="62" s="1"/>
  <c r="I67" i="62"/>
  <c r="J75" i="62"/>
  <c r="I75" i="62" s="1"/>
  <c r="J87" i="51"/>
  <c r="I87" i="51" s="1"/>
  <c r="J75" i="51"/>
  <c r="I75" i="51" s="1"/>
  <c r="I67" i="51"/>
  <c r="J87" i="61"/>
  <c r="I87" i="61" s="1"/>
  <c r="J75" i="61"/>
  <c r="I75" i="61" s="1"/>
  <c r="I67" i="61"/>
  <c r="J68" i="69"/>
  <c r="J82" i="60"/>
  <c r="I82" i="60" s="1"/>
  <c r="J70" i="60"/>
  <c r="I70" i="60" s="1"/>
  <c r="I62" i="60"/>
  <c r="J70" i="71"/>
  <c r="I70" i="71" s="1"/>
  <c r="J82" i="71"/>
  <c r="I82" i="71" s="1"/>
  <c r="I62" i="71"/>
  <c r="J82" i="70"/>
  <c r="I82" i="70" s="1"/>
  <c r="J70" i="70"/>
  <c r="I70" i="70" s="1"/>
  <c r="I62" i="70"/>
  <c r="J82" i="69"/>
  <c r="I82" i="69" s="1"/>
  <c r="I62" i="69"/>
  <c r="J70" i="69"/>
  <c r="I70" i="69" s="1"/>
  <c r="J82" i="68"/>
  <c r="I82" i="68" s="1"/>
  <c r="J70" i="68"/>
  <c r="I70" i="68" s="1"/>
  <c r="I62" i="68"/>
  <c r="J82" i="67"/>
  <c r="I82" i="67" s="1"/>
  <c r="J70" i="67"/>
  <c r="I70" i="67" s="1"/>
  <c r="I62" i="67"/>
  <c r="J82" i="66"/>
  <c r="I82" i="66" s="1"/>
  <c r="J70" i="66"/>
  <c r="I70" i="66" s="1"/>
  <c r="I62" i="66"/>
  <c r="J82" i="65"/>
  <c r="I82" i="65" s="1"/>
  <c r="I62" i="65"/>
  <c r="J70" i="65"/>
  <c r="I70" i="65" s="1"/>
  <c r="J82" i="64"/>
  <c r="I82" i="64" s="1"/>
  <c r="J70" i="64"/>
  <c r="I70" i="64" s="1"/>
  <c r="I62" i="64"/>
  <c r="J82" i="62"/>
  <c r="I82" i="62" s="1"/>
  <c r="J70" i="62"/>
  <c r="I70" i="62" s="1"/>
  <c r="I62" i="62"/>
  <c r="J82" i="51"/>
  <c r="I82" i="51" s="1"/>
  <c r="I62" i="51"/>
  <c r="J70" i="51"/>
  <c r="I70" i="51" s="1"/>
  <c r="J82" i="61"/>
  <c r="I82" i="61" s="1"/>
  <c r="J70" i="61"/>
  <c r="I70" i="61" s="1"/>
  <c r="I62" i="61"/>
  <c r="J68" i="60"/>
  <c r="J60" i="70"/>
  <c r="I60" i="70" s="1"/>
  <c r="J68" i="68"/>
  <c r="J60" i="66"/>
  <c r="I60" i="66" s="1"/>
  <c r="J68" i="64"/>
  <c r="J60" i="62"/>
  <c r="I60" i="62" s="1"/>
  <c r="J68" i="61"/>
  <c r="J87" i="70"/>
  <c r="I87" i="70" s="1"/>
  <c r="I67" i="70"/>
  <c r="J75" i="70"/>
  <c r="I75" i="70" s="1"/>
  <c r="J87" i="67"/>
  <c r="I87" i="67" s="1"/>
  <c r="J75" i="67"/>
  <c r="I75" i="67" s="1"/>
  <c r="I67" i="67"/>
  <c r="J60" i="67"/>
  <c r="I60" i="67" s="1"/>
  <c r="J68" i="51"/>
  <c r="J83" i="71"/>
  <c r="I83" i="71" s="1"/>
  <c r="J71" i="71"/>
  <c r="I71" i="71" s="1"/>
  <c r="I63" i="71"/>
  <c r="J83" i="69"/>
  <c r="I83" i="69" s="1"/>
  <c r="J71" i="69"/>
  <c r="I71" i="69" s="1"/>
  <c r="I63" i="69"/>
  <c r="J83" i="67"/>
  <c r="I83" i="67" s="1"/>
  <c r="J71" i="67"/>
  <c r="I71" i="67" s="1"/>
  <c r="I63" i="67"/>
  <c r="J83" i="66"/>
  <c r="I83" i="66" s="1"/>
  <c r="I63" i="66"/>
  <c r="J71" i="66"/>
  <c r="I71" i="66" s="1"/>
  <c r="J83" i="51"/>
  <c r="I83" i="51" s="1"/>
  <c r="J71" i="51"/>
  <c r="I71" i="51" s="1"/>
  <c r="I63" i="51"/>
  <c r="J83" i="61"/>
  <c r="I83" i="61" s="1"/>
  <c r="J71" i="61"/>
  <c r="I71" i="61" s="1"/>
  <c r="I63" i="61"/>
  <c r="J68" i="71"/>
  <c r="J60" i="69"/>
  <c r="I60" i="69" s="1"/>
  <c r="J68" i="67"/>
  <c r="J72" i="66"/>
  <c r="I72" i="66" s="1"/>
  <c r="J60" i="65"/>
  <c r="I60" i="65" s="1"/>
  <c r="J60" i="51"/>
  <c r="I60" i="51" s="1"/>
  <c r="J87" i="71"/>
  <c r="I87" i="71" s="1"/>
  <c r="J75" i="71"/>
  <c r="I75" i="71" s="1"/>
  <c r="I67" i="71"/>
  <c r="J87" i="66"/>
  <c r="I87" i="66" s="1"/>
  <c r="I67" i="66"/>
  <c r="J75" i="66"/>
  <c r="I75" i="66" s="1"/>
  <c r="J87" i="65"/>
  <c r="I87" i="65" s="1"/>
  <c r="J75" i="65"/>
  <c r="I75" i="65" s="1"/>
  <c r="I67" i="65"/>
  <c r="J87" i="64"/>
  <c r="I87" i="64" s="1"/>
  <c r="J75" i="64"/>
  <c r="I75" i="64" s="1"/>
  <c r="I67" i="64"/>
  <c r="J60" i="71"/>
  <c r="I60" i="71" s="1"/>
  <c r="J68" i="65"/>
  <c r="J83" i="60"/>
  <c r="I83" i="60" s="1"/>
  <c r="J71" i="60"/>
  <c r="I71" i="60" s="1"/>
  <c r="I63" i="60"/>
  <c r="J83" i="70"/>
  <c r="I83" i="70" s="1"/>
  <c r="J71" i="70"/>
  <c r="I71" i="70" s="1"/>
  <c r="I63" i="70"/>
  <c r="J83" i="68"/>
  <c r="I83" i="68" s="1"/>
  <c r="J71" i="68"/>
  <c r="I71" i="68" s="1"/>
  <c r="I63" i="68"/>
  <c r="J83" i="65"/>
  <c r="I83" i="65" s="1"/>
  <c r="J71" i="65"/>
  <c r="I71" i="65" s="1"/>
  <c r="I63" i="65"/>
  <c r="J71" i="64"/>
  <c r="I71" i="64" s="1"/>
  <c r="J83" i="64"/>
  <c r="I83" i="64" s="1"/>
  <c r="I63" i="64"/>
  <c r="J83" i="62"/>
  <c r="I83" i="62" s="1"/>
  <c r="I63" i="62"/>
  <c r="J71" i="62"/>
  <c r="I71" i="62" s="1"/>
  <c r="J79" i="60"/>
  <c r="I79" i="60" s="1"/>
  <c r="I55" i="60"/>
  <c r="J86" i="60"/>
  <c r="I86" i="60" s="1"/>
  <c r="J74" i="60"/>
  <c r="I74" i="60" s="1"/>
  <c r="I66" i="60"/>
  <c r="J79" i="71"/>
  <c r="I79" i="71" s="1"/>
  <c r="I55" i="71"/>
  <c r="J86" i="71"/>
  <c r="I86" i="71" s="1"/>
  <c r="J74" i="71"/>
  <c r="I74" i="71" s="1"/>
  <c r="I66" i="71"/>
  <c r="I55" i="70"/>
  <c r="J79" i="70"/>
  <c r="I79" i="70" s="1"/>
  <c r="J86" i="70"/>
  <c r="I86" i="70" s="1"/>
  <c r="J74" i="70"/>
  <c r="I74" i="70" s="1"/>
  <c r="I66" i="70"/>
  <c r="J79" i="69"/>
  <c r="I79" i="69" s="1"/>
  <c r="I55" i="69"/>
  <c r="J86" i="69"/>
  <c r="I86" i="69" s="1"/>
  <c r="J74" i="69"/>
  <c r="I74" i="69" s="1"/>
  <c r="I66" i="69"/>
  <c r="J79" i="68"/>
  <c r="I79" i="68" s="1"/>
  <c r="I55" i="68"/>
  <c r="J86" i="68"/>
  <c r="I86" i="68" s="1"/>
  <c r="J74" i="68"/>
  <c r="I74" i="68" s="1"/>
  <c r="I66" i="68"/>
  <c r="J79" i="67"/>
  <c r="I79" i="67" s="1"/>
  <c r="I55" i="67"/>
  <c r="J74" i="67"/>
  <c r="I74" i="67" s="1"/>
  <c r="I66" i="67"/>
  <c r="J86" i="67"/>
  <c r="I86" i="67" s="1"/>
  <c r="J79" i="66"/>
  <c r="I79" i="66" s="1"/>
  <c r="I55" i="66"/>
  <c r="J86" i="66"/>
  <c r="I86" i="66" s="1"/>
  <c r="J74" i="66"/>
  <c r="I74" i="66" s="1"/>
  <c r="I66" i="66"/>
  <c r="J79" i="65"/>
  <c r="I79" i="65" s="1"/>
  <c r="I55" i="65"/>
  <c r="J86" i="65"/>
  <c r="I86" i="65" s="1"/>
  <c r="I66" i="65"/>
  <c r="J74" i="65"/>
  <c r="I74" i="65" s="1"/>
  <c r="J79" i="64"/>
  <c r="I79" i="64" s="1"/>
  <c r="I55" i="64"/>
  <c r="J86" i="64"/>
  <c r="I86" i="64" s="1"/>
  <c r="J74" i="64"/>
  <c r="I74" i="64" s="1"/>
  <c r="I66" i="64"/>
  <c r="I55" i="62"/>
  <c r="J79" i="62"/>
  <c r="I79" i="62" s="1"/>
  <c r="J86" i="62"/>
  <c r="I86" i="62" s="1"/>
  <c r="J74" i="62"/>
  <c r="I74" i="62" s="1"/>
  <c r="I66" i="62"/>
  <c r="J79" i="51"/>
  <c r="I79" i="51" s="1"/>
  <c r="I55" i="51"/>
  <c r="J86" i="51"/>
  <c r="I86" i="51" s="1"/>
  <c r="I66" i="51"/>
  <c r="J74" i="51"/>
  <c r="I74" i="51" s="1"/>
  <c r="J79" i="61"/>
  <c r="I79" i="61" s="1"/>
  <c r="I55" i="61"/>
  <c r="J86" i="61"/>
  <c r="I86" i="61" s="1"/>
  <c r="J74" i="61"/>
  <c r="I74" i="61" s="1"/>
  <c r="I66" i="61"/>
  <c r="J60" i="60"/>
  <c r="I60" i="60" s="1"/>
  <c r="J68" i="70"/>
  <c r="J60" i="68"/>
  <c r="I60" i="68" s="1"/>
  <c r="J68" i="66"/>
  <c r="J60" i="64"/>
  <c r="I60" i="64" s="1"/>
  <c r="J68" i="62"/>
  <c r="I56" i="51"/>
  <c r="J60" i="61"/>
  <c r="I60" i="61" s="1"/>
  <c r="J49" i="60"/>
  <c r="I49" i="60" s="1"/>
  <c r="J61" i="60"/>
  <c r="J65" i="60"/>
  <c r="J49" i="71"/>
  <c r="I49" i="71" s="1"/>
  <c r="J61" i="71"/>
  <c r="J65" i="71"/>
  <c r="J49" i="70"/>
  <c r="I49" i="70" s="1"/>
  <c r="J61" i="70"/>
  <c r="J65" i="70"/>
  <c r="J49" i="69"/>
  <c r="I49" i="69" s="1"/>
  <c r="J61" i="69"/>
  <c r="J65" i="69"/>
  <c r="J49" i="68"/>
  <c r="I49" i="68" s="1"/>
  <c r="J61" i="68"/>
  <c r="J65" i="68"/>
  <c r="J49" i="67"/>
  <c r="I49" i="67" s="1"/>
  <c r="J61" i="67"/>
  <c r="J65" i="67"/>
  <c r="J49" i="66"/>
  <c r="I49" i="66" s="1"/>
  <c r="J61" i="66"/>
  <c r="J65" i="66"/>
  <c r="J49" i="65"/>
  <c r="I49" i="65" s="1"/>
  <c r="J61" i="65"/>
  <c r="J65" i="65"/>
  <c r="J49" i="64"/>
  <c r="I49" i="64" s="1"/>
  <c r="J61" i="64"/>
  <c r="J65" i="64"/>
  <c r="J49" i="62"/>
  <c r="I49" i="62" s="1"/>
  <c r="J61" i="62"/>
  <c r="J65" i="62"/>
  <c r="J49" i="51"/>
  <c r="I49" i="51" s="1"/>
  <c r="J61" i="51"/>
  <c r="J65" i="51"/>
  <c r="J49" i="61"/>
  <c r="I49" i="61" s="1"/>
  <c r="J61" i="61"/>
  <c r="J65" i="61"/>
  <c r="J72" i="67" l="1"/>
  <c r="I72" i="67" s="1"/>
  <c r="I64" i="62"/>
  <c r="I64" i="60"/>
  <c r="I56" i="60"/>
  <c r="I63" i="72"/>
  <c r="J72" i="60"/>
  <c r="I72" i="60" s="1"/>
  <c r="J84" i="68"/>
  <c r="I84" i="68" s="1"/>
  <c r="J71" i="72"/>
  <c r="I71" i="72" s="1"/>
  <c r="I64" i="64"/>
  <c r="I56" i="62"/>
  <c r="J84" i="64"/>
  <c r="I84" i="64" s="1"/>
  <c r="J80" i="61"/>
  <c r="I80" i="61" s="1"/>
  <c r="J87" i="72"/>
  <c r="I87" i="72" s="1"/>
  <c r="I56" i="70"/>
  <c r="J69" i="72"/>
  <c r="I69" i="72" s="1"/>
  <c r="J72" i="68"/>
  <c r="I72" i="68" s="1"/>
  <c r="J80" i="67"/>
  <c r="I80" i="67" s="1"/>
  <c r="J80" i="64"/>
  <c r="I80" i="64" s="1"/>
  <c r="I64" i="71"/>
  <c r="J72" i="62"/>
  <c r="I72" i="62" s="1"/>
  <c r="J72" i="70"/>
  <c r="I72" i="70" s="1"/>
  <c r="J72" i="61"/>
  <c r="I72" i="61" s="1"/>
  <c r="I56" i="71"/>
  <c r="I56" i="68"/>
  <c r="J72" i="71"/>
  <c r="I72" i="71" s="1"/>
  <c r="I64" i="61"/>
  <c r="J84" i="51"/>
  <c r="I84" i="51" s="1"/>
  <c r="J72" i="69"/>
  <c r="I72" i="69" s="1"/>
  <c r="J70" i="85"/>
  <c r="I70" i="85" s="1"/>
  <c r="J84" i="65"/>
  <c r="I84" i="65" s="1"/>
  <c r="J72" i="51"/>
  <c r="I72" i="51" s="1"/>
  <c r="I64" i="65"/>
  <c r="J84" i="69"/>
  <c r="I84" i="69" s="1"/>
  <c r="I62" i="85"/>
  <c r="J84" i="70"/>
  <c r="I84" i="70" s="1"/>
  <c r="J84" i="67"/>
  <c r="I84" i="67" s="1"/>
  <c r="J84" i="66"/>
  <c r="I84" i="66" s="1"/>
  <c r="I56" i="65"/>
  <c r="I56" i="66"/>
  <c r="J80" i="69"/>
  <c r="I80" i="69" s="1"/>
  <c r="I56" i="69"/>
  <c r="J84" i="85"/>
  <c r="I84" i="85" s="1"/>
  <c r="I64" i="85"/>
  <c r="J80" i="85"/>
  <c r="I80" i="85" s="1"/>
  <c r="I56" i="85"/>
  <c r="J86" i="85"/>
  <c r="I86" i="85" s="1"/>
  <c r="J74" i="85"/>
  <c r="I74" i="85" s="1"/>
  <c r="I66" i="85"/>
  <c r="J75" i="72"/>
  <c r="I75" i="72" s="1"/>
  <c r="J86" i="72"/>
  <c r="I86" i="72" s="1"/>
  <c r="J74" i="72"/>
  <c r="I74" i="72" s="1"/>
  <c r="I66" i="72"/>
  <c r="J80" i="72"/>
  <c r="I80" i="72" s="1"/>
  <c r="I56" i="72"/>
  <c r="J81" i="65"/>
  <c r="I81" i="65" s="1"/>
  <c r="J69" i="65"/>
  <c r="I69" i="65" s="1"/>
  <c r="I61" i="65"/>
  <c r="J85" i="68"/>
  <c r="I85" i="68" s="1"/>
  <c r="J73" i="68"/>
  <c r="I73" i="68" s="1"/>
  <c r="I65" i="68"/>
  <c r="J69" i="61"/>
  <c r="I69" i="61" s="1"/>
  <c r="J81" i="61"/>
  <c r="I81" i="61" s="1"/>
  <c r="I61" i="61"/>
  <c r="J81" i="64"/>
  <c r="I81" i="64" s="1"/>
  <c r="I61" i="64"/>
  <c r="J69" i="64"/>
  <c r="I69" i="64" s="1"/>
  <c r="J85" i="67"/>
  <c r="I85" i="67" s="1"/>
  <c r="J73" i="67"/>
  <c r="I73" i="67" s="1"/>
  <c r="I65" i="67"/>
  <c r="J69" i="68"/>
  <c r="I69" i="68" s="1"/>
  <c r="J81" i="68"/>
  <c r="I81" i="68" s="1"/>
  <c r="I61" i="68"/>
  <c r="J85" i="71"/>
  <c r="I85" i="71" s="1"/>
  <c r="J73" i="71"/>
  <c r="I73" i="71" s="1"/>
  <c r="I65" i="71"/>
  <c r="J69" i="60"/>
  <c r="I69" i="60" s="1"/>
  <c r="J81" i="60"/>
  <c r="I81" i="60" s="1"/>
  <c r="I61" i="60"/>
  <c r="I68" i="65"/>
  <c r="J76" i="65"/>
  <c r="I76" i="65" s="1"/>
  <c r="J88" i="65"/>
  <c r="I88" i="65" s="1"/>
  <c r="J88" i="61"/>
  <c r="I88" i="61" s="1"/>
  <c r="I68" i="61"/>
  <c r="J76" i="61"/>
  <c r="I76" i="61" s="1"/>
  <c r="J85" i="61"/>
  <c r="I85" i="61" s="1"/>
  <c r="I65" i="61"/>
  <c r="J73" i="61"/>
  <c r="I73" i="61" s="1"/>
  <c r="J81" i="69"/>
  <c r="I81" i="69" s="1"/>
  <c r="J69" i="69"/>
  <c r="I69" i="69" s="1"/>
  <c r="I61" i="69"/>
  <c r="J73" i="60"/>
  <c r="I73" i="60" s="1"/>
  <c r="J85" i="60"/>
  <c r="I85" i="60" s="1"/>
  <c r="I65" i="60"/>
  <c r="J88" i="64"/>
  <c r="I88" i="64" s="1"/>
  <c r="I68" i="64"/>
  <c r="J76" i="64"/>
  <c r="I76" i="64" s="1"/>
  <c r="J81" i="67"/>
  <c r="I81" i="67" s="1"/>
  <c r="J69" i="67"/>
  <c r="I69" i="67" s="1"/>
  <c r="I61" i="67"/>
  <c r="J85" i="70"/>
  <c r="I85" i="70" s="1"/>
  <c r="J73" i="70"/>
  <c r="I73" i="70" s="1"/>
  <c r="I65" i="70"/>
  <c r="J81" i="71"/>
  <c r="I81" i="71" s="1"/>
  <c r="J69" i="71"/>
  <c r="I69" i="71" s="1"/>
  <c r="I61" i="71"/>
  <c r="J88" i="66"/>
  <c r="I88" i="66" s="1"/>
  <c r="J76" i="66"/>
  <c r="I76" i="66" s="1"/>
  <c r="I68" i="66"/>
  <c r="J88" i="70"/>
  <c r="I88" i="70" s="1"/>
  <c r="J76" i="70"/>
  <c r="I76" i="70" s="1"/>
  <c r="I68" i="70"/>
  <c r="J88" i="67"/>
  <c r="I88" i="67" s="1"/>
  <c r="I68" i="67"/>
  <c r="J76" i="67"/>
  <c r="I76" i="67" s="1"/>
  <c r="J88" i="71"/>
  <c r="I88" i="71" s="1"/>
  <c r="J76" i="71"/>
  <c r="I76" i="71" s="1"/>
  <c r="I68" i="71"/>
  <c r="J81" i="51"/>
  <c r="I81" i="51" s="1"/>
  <c r="J69" i="51"/>
  <c r="I69" i="51" s="1"/>
  <c r="I61" i="51"/>
  <c r="J85" i="64"/>
  <c r="I85" i="64" s="1"/>
  <c r="J73" i="64"/>
  <c r="I73" i="64" s="1"/>
  <c r="I65" i="64"/>
  <c r="I68" i="51"/>
  <c r="J76" i="51"/>
  <c r="I76" i="51" s="1"/>
  <c r="J88" i="51"/>
  <c r="I88" i="51" s="1"/>
  <c r="J76" i="69"/>
  <c r="I76" i="69" s="1"/>
  <c r="J88" i="69"/>
  <c r="I88" i="69" s="1"/>
  <c r="I68" i="69"/>
  <c r="J85" i="62"/>
  <c r="I85" i="62" s="1"/>
  <c r="J73" i="62"/>
  <c r="I73" i="62" s="1"/>
  <c r="I65" i="62"/>
  <c r="J73" i="66"/>
  <c r="I73" i="66" s="1"/>
  <c r="J85" i="66"/>
  <c r="I85" i="66" s="1"/>
  <c r="I65" i="66"/>
  <c r="J85" i="51"/>
  <c r="I85" i="51" s="1"/>
  <c r="J73" i="51"/>
  <c r="I73" i="51" s="1"/>
  <c r="I65" i="51"/>
  <c r="J81" i="62"/>
  <c r="I81" i="62" s="1"/>
  <c r="J69" i="62"/>
  <c r="I69" i="62" s="1"/>
  <c r="I61" i="62"/>
  <c r="J85" i="65"/>
  <c r="I85" i="65" s="1"/>
  <c r="J73" i="65"/>
  <c r="I73" i="65" s="1"/>
  <c r="I65" i="65"/>
  <c r="J81" i="66"/>
  <c r="I81" i="66" s="1"/>
  <c r="J69" i="66"/>
  <c r="I69" i="66" s="1"/>
  <c r="I61" i="66"/>
  <c r="J85" i="69"/>
  <c r="I85" i="69" s="1"/>
  <c r="J73" i="69"/>
  <c r="I73" i="69" s="1"/>
  <c r="I65" i="69"/>
  <c r="J81" i="70"/>
  <c r="I81" i="70" s="1"/>
  <c r="J69" i="70"/>
  <c r="I69" i="70" s="1"/>
  <c r="I61" i="70"/>
  <c r="J88" i="62"/>
  <c r="I88" i="62" s="1"/>
  <c r="J76" i="62"/>
  <c r="I76" i="62" s="1"/>
  <c r="I68" i="62"/>
  <c r="J88" i="68"/>
  <c r="I88" i="68" s="1"/>
  <c r="J76" i="68"/>
  <c r="I76" i="68" s="1"/>
  <c r="I68" i="68"/>
  <c r="J88" i="60"/>
  <c r="I88" i="60" s="1"/>
  <c r="J76" i="60"/>
  <c r="I76" i="60" s="1"/>
  <c r="I68" i="60"/>
</calcChain>
</file>

<file path=xl/sharedStrings.xml><?xml version="1.0" encoding="utf-8"?>
<sst xmlns="http://schemas.openxmlformats.org/spreadsheetml/2006/main" count="14729" uniqueCount="542">
  <si>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</si>
  <si>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</si>
  <si>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</si>
  <si>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</si>
  <si>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</si>
  <si>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</si>
  <si>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</si>
  <si>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</si>
  <si>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</si>
  <si>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</si>
  <si>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</si>
  <si>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</si>
  <si>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</si>
  <si>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</si>
  <si>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</si>
  <si>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</si>
  <si>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</si>
  <si>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</si>
  <si>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</si>
  <si>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</si>
  <si>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</si>
  <si>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</si>
  <si>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</si>
  <si>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</si>
  <si>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</si>
  <si>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</si>
  <si>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</si>
  <si>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</si>
  <si>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</si>
  <si>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</si>
  <si>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</si>
  <si>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</si>
  <si>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</si>
  <si>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I2</t>
    <phoneticPr fontId="2" type="noConversion"/>
  </si>
  <si>
    <t>0xFF</t>
  </si>
  <si>
    <t>Y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</si>
  <si>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</si>
  <si>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</si>
  <si>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</si>
  <si>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</si>
  <si>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0x01</t>
    <phoneticPr fontId="2" type="noConversion"/>
  </si>
  <si>
    <t>DAC_ATOP</t>
    <phoneticPr fontId="2" type="noConversion"/>
  </si>
  <si>
    <t>0x16</t>
    <phoneticPr fontId="2" type="noConversion"/>
  </si>
  <si>
    <t>0x00</t>
    <phoneticPr fontId="2" type="noConversion"/>
  </si>
  <si>
    <t>0x20</t>
    <phoneticPr fontId="2" type="noConversion"/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</si>
  <si>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</si>
  <si>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</si>
  <si>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</si>
  <si>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</si>
  <si>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clk_432</t>
    <phoneticPr fontId="2" type="noConversion"/>
  </si>
  <si>
    <t>enable clock 432 for synth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</si>
  <si>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</si>
  <si>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</si>
  <si>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</si>
  <si>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</si>
  <si>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</si>
  <si>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</si>
  <si>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0x11</t>
    <phoneticPr fontId="2" type="noConversion"/>
  </si>
  <si>
    <t>0x01</t>
    <phoneticPr fontId="2" type="noConversion"/>
  </si>
  <si>
    <t>0x13</t>
    <phoneticPr fontId="2" type="noConversion"/>
  </si>
  <si>
    <t>top clock gen (common)</t>
    <phoneticPr fontId="2" type="noConversion"/>
  </si>
  <si>
    <t>disp clk gen (common)</t>
    <phoneticPr fontId="2" type="noConversion"/>
  </si>
  <si>
    <t>0x36</t>
    <phoneticPr fontId="2" type="noConversion"/>
  </si>
  <si>
    <t>0x12</t>
    <phoneticPr fontId="2" type="noConversion"/>
  </si>
  <si>
    <t>0x14</t>
    <phoneticPr fontId="2" type="noConversion"/>
  </si>
  <si>
    <t>0x15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</si>
  <si>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</si>
  <si>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</si>
  <si>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</si>
  <si>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</si>
  <si>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</si>
  <si>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v total</t>
    <phoneticPr fontId="2" type="noConversion"/>
  </si>
  <si>
    <t>hs end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</si>
  <si>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</si>
  <si>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</si>
  <si>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</si>
  <si>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</si>
  <si>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</si>
  <si>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</si>
  <si>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vfde start</t>
    <phoneticPr fontId="2" type="noConversion"/>
  </si>
  <si>
    <t>vfde end</t>
    <phoneticPr fontId="2" type="noConversion"/>
  </si>
  <si>
    <t>0x02</t>
    <phoneticPr fontId="2" type="noConversion"/>
  </si>
  <si>
    <t>0x07</t>
    <phoneticPr fontId="2" type="noConversion"/>
  </si>
  <si>
    <t>0x04</t>
    <phoneticPr fontId="2" type="noConversion"/>
  </si>
  <si>
    <t>0x29</t>
    <phoneticPr fontId="2" type="noConversion"/>
  </si>
  <si>
    <t>0x00</t>
    <phoneticPr fontId="2" type="noConversion"/>
  </si>
  <si>
    <t>DAC_ATOP</t>
  </si>
  <si>
    <t>idac pll</t>
    <phoneticPr fontId="2" type="noConversion"/>
  </si>
  <si>
    <t>idac atop (common)</t>
    <phoneticPr fontId="2" type="noConversion"/>
  </si>
  <si>
    <t>reg_en_idac_r/g/b</t>
    <phoneticPr fontId="2" type="noConversion"/>
  </si>
  <si>
    <t>reg_en_idac_ref</t>
    <phoneticPr fontId="2" type="noConversion"/>
  </si>
  <si>
    <t>reg_pd_idac_ldo</t>
    <phoneticPr fontId="2" type="noConversion"/>
  </si>
  <si>
    <t>reg_ckg_dac_atop</t>
    <phoneticPr fontId="2" type="noConversion"/>
  </si>
  <si>
    <t>scaler (pat gen)</t>
    <phoneticPr fontId="2" type="noConversion"/>
  </si>
  <si>
    <t>0x12</t>
    <phoneticPr fontId="2" type="noConversion"/>
  </si>
  <si>
    <t>0x13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</si>
  <si>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</si>
  <si>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</si>
  <si>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</si>
  <si>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0x16</t>
    <phoneticPr fontId="2" type="noConversion"/>
  </si>
  <si>
    <t>0x17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</si>
  <si>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</si>
  <si>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</si>
  <si>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</si>
  <si>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</si>
  <si>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w0 hde start</t>
    <phoneticPr fontId="2" type="noConversion"/>
  </si>
  <si>
    <t>w0 hde end</t>
    <phoneticPr fontId="2" type="noConversion"/>
  </si>
  <si>
    <t>w0 vde start</t>
    <phoneticPr fontId="2" type="noConversion"/>
  </si>
  <si>
    <t>w0 vde start</t>
    <phoneticPr fontId="2" type="noConversion"/>
  </si>
  <si>
    <t>w0 vde end</t>
    <phoneticPr fontId="2" type="noConversion"/>
  </si>
  <si>
    <t>w0 vde end</t>
    <phoneticPr fontId="2" type="noConversion"/>
  </si>
  <si>
    <t>dac hs start</t>
    <phoneticPr fontId="2" type="noConversion"/>
  </si>
  <si>
    <t>dac hs start</t>
    <phoneticPr fontId="2" type="noConversion"/>
  </si>
  <si>
    <t>dac hs end</t>
    <phoneticPr fontId="2" type="noConversion"/>
  </si>
  <si>
    <t>dac hs end</t>
    <phoneticPr fontId="2" type="noConversion"/>
  </si>
  <si>
    <t>0x23</t>
    <phoneticPr fontId="2" type="noConversion"/>
  </si>
  <si>
    <t>0x23</t>
    <phoneticPr fontId="2" type="noConversion"/>
  </si>
  <si>
    <t>0x24</t>
    <phoneticPr fontId="2" type="noConversion"/>
  </si>
  <si>
    <t>dac hfde start</t>
    <phoneticPr fontId="2" type="noConversion"/>
  </si>
  <si>
    <t>dac hfde start</t>
    <phoneticPr fontId="2" type="noConversion"/>
  </si>
  <si>
    <t>dac hfde end</t>
    <phoneticPr fontId="2" type="noConversion"/>
  </si>
  <si>
    <t>dac hfde end</t>
    <phoneticPr fontId="2" type="noConversion"/>
  </si>
  <si>
    <t>dac vfde start</t>
    <phoneticPr fontId="2" type="noConversion"/>
  </si>
  <si>
    <t>dac vfde end</t>
    <phoneticPr fontId="2" type="noConversion"/>
  </si>
  <si>
    <t>dac vfde end</t>
    <phoneticPr fontId="2" type="noConversion"/>
  </si>
  <si>
    <t>0x27</t>
    <phoneticPr fontId="2" type="noConversion"/>
  </si>
  <si>
    <t>0x27</t>
    <phoneticPr fontId="2" type="noConversion"/>
  </si>
  <si>
    <t>0x28</t>
    <phoneticPr fontId="2" type="noConversion"/>
  </si>
  <si>
    <t>0x29</t>
    <phoneticPr fontId="2" type="noConversion"/>
  </si>
  <si>
    <t>0x07</t>
    <phoneticPr fontId="2" type="noConversion"/>
  </si>
  <si>
    <t>reset</t>
    <phoneticPr fontId="2" type="noConversion"/>
  </si>
  <si>
    <t>trun off reset</t>
    <phoneticPr fontId="2" type="noConversion"/>
  </si>
  <si>
    <t>0x00</t>
    <phoneticPr fontId="2" type="noConversion"/>
  </si>
  <si>
    <t>0x145B</t>
    <phoneticPr fontId="2" type="noConversion"/>
  </si>
  <si>
    <t>0x1150</t>
    <phoneticPr fontId="2" type="noConversion"/>
  </si>
  <si>
    <t>0x1137</t>
    <phoneticPr fontId="2" type="noConversion"/>
  </si>
  <si>
    <t>0x1038</t>
    <phoneticPr fontId="2" type="noConversion"/>
  </si>
  <si>
    <t>0x48</t>
    <phoneticPr fontId="2" type="noConversion"/>
  </si>
  <si>
    <t>H</t>
    <phoneticPr fontId="2" type="noConversion"/>
  </si>
  <si>
    <t>DISP_TOP0</t>
    <phoneticPr fontId="2" type="noConversion"/>
  </si>
  <si>
    <t>DISP_TOP_OP20</t>
  </si>
  <si>
    <t>DISP_TOP_OP20</t>
    <phoneticPr fontId="2" type="noConversion"/>
  </si>
  <si>
    <t>reg_gcr_ihalf_hd</t>
    <phoneticPr fontId="2" type="noConversion"/>
  </si>
  <si>
    <t>reg_gcr_mode_hd</t>
    <phoneticPr fontId="2" type="noConversion"/>
  </si>
  <si>
    <t>0x36</t>
    <phoneticPr fontId="2" type="noConversion"/>
  </si>
  <si>
    <t>0x25</t>
    <phoneticPr fontId="2" type="noConversion"/>
  </si>
  <si>
    <t>scaler clk_dac enable</t>
    <phoneticPr fontId="2" type="noConversion"/>
  </si>
  <si>
    <t>0x40</t>
    <phoneticPr fontId="2" type="noConversion"/>
  </si>
  <si>
    <t>[3:0] reg_ckg_dac
[7:4] reg_ckg_dac_waff</t>
    <phoneticPr fontId="18" type="noConversion"/>
  </si>
  <si>
    <t>scaler clk_fpll_odclk enable</t>
    <phoneticPr fontId="2" type="noConversion"/>
  </si>
  <si>
    <t>[3:0] reg_ckg_fpll_odclk0
[7:4] reg_ckg_fpll_odclk1</t>
    <phoneticPr fontId="18" type="noConversion"/>
  </si>
  <si>
    <t>op2 (pat gen)</t>
  </si>
  <si>
    <t>op2 (pat gen)</t>
    <phoneticPr fontId="2" type="noConversion"/>
  </si>
  <si>
    <t>[0] dac src select</t>
    <phoneticPr fontId="2" type="noConversion"/>
  </si>
  <si>
    <t>fpll delay setting</t>
    <phoneticPr fontId="2" type="noConversion"/>
  </si>
  <si>
    <t>0xd0</t>
    <phoneticPr fontId="2" type="noConversion"/>
  </si>
  <si>
    <t>0x50</t>
    <phoneticPr fontId="2" type="noConversion"/>
  </si>
  <si>
    <t>scaler clk_odclk enable</t>
    <phoneticPr fontId="2" type="noConversion"/>
  </si>
  <si>
    <t>[3:0] reg_ckg_odclk0
[7:4] reg_ckg_odclk1</t>
    <phoneticPr fontId="18" type="noConversion"/>
  </si>
  <si>
    <t>0x20</t>
    <phoneticPr fontId="2" type="noConversion"/>
  </si>
  <si>
    <t>0x20</t>
    <phoneticPr fontId="2" type="noConversion"/>
  </si>
  <si>
    <t>IDAC_ATOP</t>
    <phoneticPr fontId="2" type="noConversion"/>
  </si>
  <si>
    <t>IDAC_ATOP</t>
    <phoneticPr fontId="2" type="noConversion"/>
  </si>
  <si>
    <t>IDAC_ATOP</t>
    <phoneticPr fontId="2" type="noConversion"/>
  </si>
  <si>
    <t>IDAC_ATOP</t>
    <phoneticPr fontId="2" type="noConversion"/>
  </si>
  <si>
    <t>SCALER_TGEN</t>
    <phoneticPr fontId="2" type="noConversion"/>
  </si>
  <si>
    <t>SCALER_TGEN</t>
    <phoneticPr fontId="2" type="noConversion"/>
  </si>
  <si>
    <t>SCALER_TGEN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</si>
  <si>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</si>
  <si>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</si>
  <si>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</si>
  <si>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</si>
  <si>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</si>
  <si>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FrontPorch</t>
    <phoneticPr fontId="2" type="noConversion"/>
  </si>
  <si>
    <t>Total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</si>
  <si>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</si>
  <si>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</si>
  <si>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</si>
  <si>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FPS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</si>
  <si>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</si>
  <si>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</si>
  <si>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</si>
  <si>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</si>
  <si>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FrontPorch</t>
    <phoneticPr fontId="2" type="noConversion"/>
  </si>
  <si>
    <t>FPS</t>
    <phoneticPr fontId="2" type="noConversion"/>
  </si>
  <si>
    <t>FPS</t>
    <phoneticPr fontId="2" type="noConversion"/>
  </si>
  <si>
    <t>FrontPorch</t>
    <phoneticPr fontId="2" type="noConversion"/>
  </si>
  <si>
    <t>Active</t>
    <phoneticPr fontId="2" type="noConversion"/>
  </si>
  <si>
    <t>Sync</t>
    <phoneticPr fontId="2" type="noConversion"/>
  </si>
  <si>
    <t>Active</t>
    <phoneticPr fontId="2" type="noConversion"/>
  </si>
  <si>
    <t>Total</t>
    <phoneticPr fontId="2" type="noConversion"/>
  </si>
  <si>
    <t>FrontPorch</t>
    <phoneticPr fontId="2" type="noConversion"/>
  </si>
  <si>
    <t>H</t>
    <phoneticPr fontId="2" type="noConversion"/>
  </si>
  <si>
    <t>Sync</t>
    <phoneticPr fontId="2" type="noConversion"/>
  </si>
  <si>
    <t>Active</t>
    <phoneticPr fontId="2" type="noConversion"/>
  </si>
  <si>
    <t>H</t>
    <phoneticPr fontId="2" type="noConversion"/>
  </si>
  <si>
    <t>Sync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</si>
  <si>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</si>
  <si>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</si>
  <si>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</si>
  <si>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</si>
  <si>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</si>
  <si>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</si>
  <si>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</si>
  <si>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</si>
  <si>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</si>
  <si>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</si>
  <si>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</si>
  <si>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H</t>
    <phoneticPr fontId="2" type="noConversion"/>
  </si>
  <si>
    <t>FrontPorch</t>
    <phoneticPr fontId="2" type="noConversion"/>
  </si>
  <si>
    <t>BackPorch</t>
    <phoneticPr fontId="2" type="noConversion"/>
  </si>
  <si>
    <t>Total</t>
    <phoneticPr fontId="2" type="noConversion"/>
  </si>
  <si>
    <t>FPS</t>
    <phoneticPr fontId="2" type="noConversion"/>
  </si>
  <si>
    <t>H</t>
    <phoneticPr fontId="2" type="noConversion"/>
  </si>
  <si>
    <t>BackPorch</t>
    <phoneticPr fontId="2" type="noConversion"/>
  </si>
  <si>
    <t>FrontPorch</t>
    <phoneticPr fontId="2" type="noConversion"/>
  </si>
  <si>
    <t>FPS</t>
    <phoneticPr fontId="2" type="noConversion"/>
  </si>
  <si>
    <t>Sync</t>
    <phoneticPr fontId="2" type="noConversion"/>
  </si>
  <si>
    <t>BackPorch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</si>
  <si>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</si>
  <si>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</si>
  <si>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</si>
  <si>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</si>
  <si>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</si>
  <si>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</si>
  <si>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Active</t>
    <phoneticPr fontId="2" type="noConversion"/>
  </si>
  <si>
    <t>Sync</t>
    <phoneticPr fontId="2" type="noConversion"/>
  </si>
  <si>
    <t>Sync</t>
    <phoneticPr fontId="2" type="noConversion"/>
  </si>
  <si>
    <t>V</t>
    <phoneticPr fontId="2" type="noConversion"/>
  </si>
  <si>
    <t>Active</t>
    <phoneticPr fontId="2" type="noConversion"/>
  </si>
  <si>
    <t>H</t>
    <phoneticPr fontId="2" type="noConversion"/>
  </si>
  <si>
    <t>V</t>
    <phoneticPr fontId="2" type="noConversion"/>
  </si>
  <si>
    <t>Sync</t>
    <phoneticPr fontId="2" type="noConversion"/>
  </si>
  <si>
    <t>Active</t>
    <phoneticPr fontId="2" type="noConversion"/>
  </si>
  <si>
    <t>FrontPorch</t>
    <phoneticPr fontId="2" type="noConversion"/>
  </si>
  <si>
    <t>FPS</t>
    <phoneticPr fontId="2" type="noConversion"/>
  </si>
  <si>
    <t>480_60P</t>
    <phoneticPr fontId="2" type="noConversion"/>
  </si>
  <si>
    <t>576_50P</t>
    <phoneticPr fontId="2" type="noConversion"/>
  </si>
  <si>
    <t>720_50P</t>
    <phoneticPr fontId="2" type="noConversion"/>
  </si>
  <si>
    <t>720_60P</t>
    <phoneticPr fontId="2" type="noConversion"/>
  </si>
  <si>
    <t>1080_30P</t>
    <phoneticPr fontId="2" type="noConversion"/>
  </si>
  <si>
    <t>1080_50P</t>
    <phoneticPr fontId="2" type="noConversion"/>
  </si>
  <si>
    <t>1080_60P</t>
    <phoneticPr fontId="2" type="noConversion"/>
  </si>
  <si>
    <t>1024x768_60P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</si>
  <si>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</si>
  <si>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</si>
  <si>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</si>
  <si>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1280x800_60P</t>
    <phoneticPr fontId="2" type="noConversion"/>
  </si>
  <si>
    <t>1680x1050_60P</t>
    <phoneticPr fontId="2" type="noConversion"/>
  </si>
  <si>
    <t>1600x1200_60P</t>
    <phoneticPr fontId="2" type="noConversion"/>
  </si>
  <si>
    <t>DISP_TOP_OP20</t>
    <phoneticPr fontId="2" type="noConversion"/>
  </si>
  <si>
    <t>0x1151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</si>
  <si>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</si>
  <si>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</si>
  <si>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</si>
  <si>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</si>
  <si>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DISP_TOP_OP20</t>
    <phoneticPr fontId="2" type="noConversion"/>
  </si>
  <si>
    <t>CLK</t>
    <phoneticPr fontId="2" type="noConversion"/>
  </si>
  <si>
    <t>SKIP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</si>
  <si>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</si>
  <si>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</si>
  <si>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</si>
  <si>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</si>
  <si>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</si>
  <si>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</si>
  <si>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</si>
  <si>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</si>
  <si>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FrontPorch</t>
    <phoneticPr fontId="2" type="noConversion"/>
  </si>
  <si>
    <t>FPS</t>
    <phoneticPr fontId="2" type="noConversion"/>
  </si>
  <si>
    <t>Total</t>
    <phoneticPr fontId="2" type="noConversion"/>
  </si>
  <si>
    <t>BackPorch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</si>
  <si>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</si>
  <si>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</si>
  <si>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</si>
  <si>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</si>
  <si>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</si>
  <si>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</si>
  <si>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BackPorch</t>
    <phoneticPr fontId="2" type="noConversion"/>
  </si>
  <si>
    <t>Total</t>
    <phoneticPr fontId="2" type="noConversion"/>
  </si>
  <si>
    <t>FPS</t>
    <phoneticPr fontId="2" type="noConversion"/>
  </si>
  <si>
    <t>NORMAL</t>
    <phoneticPr fontId="2" type="noConversion"/>
  </si>
  <si>
    <t>1080_24P</t>
    <phoneticPr fontId="2" type="noConversion"/>
  </si>
  <si>
    <t>1080_25P</t>
    <phoneticPr fontId="2" type="noConversion"/>
  </si>
  <si>
    <t>2560x1440_30P</t>
    <phoneticPr fontId="2" type="noConversion"/>
  </si>
  <si>
    <t>3840x2160_30P</t>
    <phoneticPr fontId="2" type="noConversion"/>
  </si>
  <si>
    <t>H</t>
    <phoneticPr fontId="2" type="noConversion"/>
  </si>
  <si>
    <t>Sync</t>
    <phoneticPr fontId="2" type="noConversion"/>
  </si>
  <si>
    <t>FrontPorch</t>
    <phoneticPr fontId="2" type="noConversion"/>
  </si>
  <si>
    <t>V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</si>
  <si>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</si>
  <si>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</si>
  <si>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</si>
  <si>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BackPorch</t>
    <phoneticPr fontId="2" type="noConversion"/>
  </si>
  <si>
    <t>FrontPorch</t>
    <phoneticPr fontId="2" type="noConversion"/>
  </si>
  <si>
    <t>Sync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</si>
  <si>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</si>
  <si>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</si>
  <si>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</si>
  <si>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</si>
  <si>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</si>
  <si>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</si>
  <si>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</si>
  <si>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</si>
  <si>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</si>
  <si>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</si>
  <si>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</si>
  <si>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</si>
  <si>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</si>
  <si>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</si>
  <si>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</si>
  <si>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</si>
  <si>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</si>
  <si>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</si>
  <si>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</si>
  <si>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</si>
  <si>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0x1D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</si>
  <si>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</si>
  <si>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</si>
  <si>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</si>
  <si>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</si>
  <si>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</si>
  <si>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</si>
  <si>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CLK_GEN</t>
    <phoneticPr fontId="2" type="noConversion"/>
  </si>
  <si>
    <t>CLK_GEN</t>
    <phoneticPr fontId="2" type="noConversion"/>
  </si>
  <si>
    <t>CLK_GEN</t>
    <phoneticPr fontId="2" type="noConversion"/>
  </si>
  <si>
    <t>CLK_GEN</t>
    <phoneticPr fontId="2" type="noConversion"/>
  </si>
  <si>
    <t>DISP_GPCTRL</t>
    <phoneticPr fontId="2" type="noConversion"/>
  </si>
  <si>
    <t>DISP_GPCTRL</t>
    <phoneticPr fontId="2" type="noConversion"/>
  </si>
  <si>
    <t>DISP_GPCTRL</t>
    <phoneticPr fontId="2" type="noConversion"/>
  </si>
  <si>
    <t>DISP_GPCTRL</t>
    <phoneticPr fontId="2" type="noConversion"/>
  </si>
  <si>
    <t>SKIP</t>
    <phoneticPr fontId="2" type="noConversion"/>
  </si>
  <si>
    <t>HAL_DISP_VGA</t>
    <phoneticPr fontId="2" type="noConversion"/>
  </si>
  <si>
    <t>DISP_TOP1</t>
    <phoneticPr fontId="2" type="noConversion"/>
  </si>
  <si>
    <t>0x1160</t>
    <phoneticPr fontId="2" type="noConversion"/>
  </si>
  <si>
    <t>hal_disp_vga_timing_tbl</t>
    <phoneticPr fontId="2" type="noConversion"/>
  </si>
  <si>
    <t>SYNTH_SET_VGA</t>
    <phoneticPr fontId="2" type="noConversion"/>
  </si>
  <si>
    <t>SYNTH_SET_VGA</t>
    <phoneticPr fontId="2" type="noConversion"/>
  </si>
  <si>
    <t>SYNTH_SET_VGA</t>
    <phoneticPr fontId="2" type="noConversion"/>
  </si>
  <si>
    <t>0x0E</t>
    <phoneticPr fontId="2" type="noConversion"/>
  </si>
  <si>
    <t>0x0E</t>
    <phoneticPr fontId="2" type="noConversion"/>
  </si>
  <si>
    <t>0x0F</t>
    <phoneticPr fontId="2" type="noConversion"/>
  </si>
  <si>
    <t>0x0F</t>
    <phoneticPr fontId="2" type="noConversion"/>
  </si>
  <si>
    <t>0x0F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</si>
  <si>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</si>
  <si>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</si>
  <si>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</si>
  <si>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</si>
  <si>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SYNTH_SET_HDMITX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</si>
  <si>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</si>
  <si>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</si>
  <si>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</si>
  <si>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</si>
  <si>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</si>
  <si>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</si>
  <si>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0x07</t>
    <phoneticPr fontId="2" type="noConversion"/>
  </si>
  <si>
    <t>0x07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</si>
  <si>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</si>
  <si>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</si>
  <si>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</si>
  <si>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</si>
  <si>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FPS</t>
    <phoneticPr fontId="2" type="noConversion"/>
  </si>
  <si>
    <t>1920x1200_60P</t>
    <phoneticPr fontId="2" type="noConversion"/>
  </si>
  <si>
    <t>0x32</t>
    <phoneticPr fontId="2" type="noConversion"/>
  </si>
  <si>
    <t>0x37</t>
    <phoneticPr fontId="2" type="noConversion"/>
  </si>
  <si>
    <t>0x38</t>
    <phoneticPr fontId="2" type="noConversion"/>
  </si>
  <si>
    <t>0x39</t>
    <phoneticPr fontId="2" type="noConversion"/>
  </si>
  <si>
    <t>reg_sdiopll_ictrl</t>
    <phoneticPr fontId="2" type="noConversion"/>
  </si>
  <si>
    <t>reg_sdiopll_loop_div</t>
  </si>
  <si>
    <t>reg_sdiopll_pdiv</t>
  </si>
  <si>
    <t>reg_sdiopll_en_d2s</t>
    <phoneticPr fontId="2" type="noConversion"/>
  </si>
  <si>
    <t>0x30</t>
    <phoneticPr fontId="2" type="noConversion"/>
  </si>
  <si>
    <t>[1:0]reg_sdiopll_test_sel
[3:2]reg_sdiopll_ibias
[5:4]reg_sdiopll_testclk_sel</t>
    <phoneticPr fontId="2" type="noConversion"/>
  </si>
  <si>
    <t>0x06</t>
    <phoneticPr fontId="2" type="noConversion"/>
  </si>
  <si>
    <t>[0]reg_sdiopll_dll_sel
[1]reg_sdiopll_en_test_clock
[2]reg_sdiopll_en_vco
[3]reg_sdiopll_lo_freq_en
[5:4]reg_sdiopll_input_div
[7:6]reg_sdiopll_input_sel</t>
    <phoneticPr fontId="2" type="noConversion"/>
  </si>
  <si>
    <t>reg_sdiopll_test</t>
    <phoneticPr fontId="2" type="noConversion"/>
  </si>
  <si>
    <t>reg_sdiopll_test</t>
    <phoneticPr fontId="2" type="noConversion"/>
  </si>
  <si>
    <t>0x63</t>
    <phoneticPr fontId="2" type="noConversion"/>
  </si>
  <si>
    <t>0x80</t>
    <phoneticPr fontId="2" type="noConversion"/>
  </si>
  <si>
    <t>0x01</t>
    <phoneticPr fontId="2" type="noConversion"/>
  </si>
  <si>
    <t>reg_sdiopll_pd</t>
    <phoneticPr fontId="2" type="noConversion"/>
  </si>
  <si>
    <t>0x00</t>
    <phoneticPr fontId="2" type="noConversion"/>
  </si>
  <si>
    <t>0x40</t>
    <phoneticPr fontId="2" type="noConversion"/>
  </si>
  <si>
    <t>0x0F</t>
    <phoneticPr fontId="2" type="noConversion"/>
  </si>
  <si>
    <t>0x3D</t>
    <phoneticPr fontId="2" type="noConversion"/>
  </si>
  <si>
    <t>0x3B</t>
    <phoneticPr fontId="2" type="noConversion"/>
  </si>
  <si>
    <t>0x3E</t>
    <phoneticPr fontId="2" type="noConversion"/>
  </si>
  <si>
    <t>0x2E</t>
    <phoneticPr fontId="2" type="noConversion"/>
  </si>
  <si>
    <t>0x8B</t>
    <phoneticPr fontId="2" type="noConversion"/>
  </si>
  <si>
    <t>0xA2</t>
    <phoneticPr fontId="2" type="noConversion"/>
  </si>
  <si>
    <t>0x02</t>
    <phoneticPr fontId="2" type="noConversion"/>
  </si>
  <si>
    <t>0x09</t>
    <phoneticPr fontId="2" type="noConversion"/>
  </si>
  <si>
    <t>0x25</t>
    <phoneticPr fontId="2" type="noConversion"/>
  </si>
  <si>
    <t>0x42</t>
    <phoneticPr fontId="2" type="noConversion"/>
  </si>
  <si>
    <t>0x29</t>
    <phoneticPr fontId="2" type="noConversion"/>
  </si>
  <si>
    <t>0x20</t>
    <phoneticPr fontId="2" type="noConversion"/>
  </si>
  <si>
    <t>0x02</t>
    <phoneticPr fontId="2" type="noConversion"/>
  </si>
  <si>
    <t>0xB1</t>
    <phoneticPr fontId="2" type="noConversion"/>
  </si>
  <si>
    <t>0x35</t>
    <phoneticPr fontId="2" type="noConversion"/>
  </si>
  <si>
    <t>0x2B</t>
    <phoneticPr fontId="2" type="noConversion"/>
  </si>
  <si>
    <t>0x52</t>
    <phoneticPr fontId="2" type="noConversion"/>
  </si>
  <si>
    <t>0x28</t>
    <phoneticPr fontId="2" type="noConversion"/>
  </si>
  <si>
    <t>0x47</t>
    <phoneticPr fontId="2" type="noConversion"/>
  </si>
  <si>
    <t>0x7E</t>
    <phoneticPr fontId="2" type="noConversion"/>
  </si>
  <si>
    <t>0x20</t>
    <phoneticPr fontId="2" type="noConversion"/>
  </si>
  <si>
    <t>0x63</t>
    <phoneticPr fontId="2" type="noConversion"/>
  </si>
  <si>
    <t>0xCB</t>
    <phoneticPr fontId="2" type="noConversion"/>
  </si>
  <si>
    <t>0x17</t>
    <phoneticPr fontId="2" type="noConversion"/>
  </si>
  <si>
    <t>0x9C</t>
    <phoneticPr fontId="2" type="noConversion"/>
  </si>
  <si>
    <t>0xDD</t>
    <phoneticPr fontId="2" type="noConversion"/>
  </si>
  <si>
    <t>0x2A</t>
    <phoneticPr fontId="2" type="noConversion"/>
  </si>
  <si>
    <t>0xAA</t>
    <phoneticPr fontId="2" type="noConversion"/>
  </si>
  <si>
    <t>0x23</t>
    <phoneticPr fontId="2" type="noConversion"/>
  </si>
  <si>
    <t>0xB2</t>
    <phoneticPr fontId="2" type="noConversion"/>
  </si>
  <si>
    <t>0xC6</t>
    <phoneticPr fontId="2" type="noConversion"/>
  </si>
  <si>
    <t>reg_syn_set[7:0]</t>
    <phoneticPr fontId="2" type="noConversion"/>
  </si>
  <si>
    <t>0x10</t>
    <phoneticPr fontId="2" type="noConversion"/>
  </si>
  <si>
    <t>0xea</t>
    <phoneticPr fontId="2" type="noConversion"/>
  </si>
  <si>
    <t>resolution related</t>
    <phoneticPr fontId="2" type="noConversion"/>
  </si>
  <si>
    <t>0xd9</t>
    <phoneticPr fontId="2" type="noConversion"/>
  </si>
  <si>
    <t>reg_syn_set[23:16]</t>
    <phoneticPr fontId="2" type="noConversion"/>
  </si>
  <si>
    <t>resolution related</t>
    <phoneticPr fontId="2" type="noConversion"/>
  </si>
  <si>
    <t>reg_syn_set[7:0]</t>
    <phoneticPr fontId="2" type="noConversion"/>
  </si>
  <si>
    <t>0x10</t>
    <phoneticPr fontId="2" type="noConversion"/>
  </si>
  <si>
    <t>0x87</t>
    <phoneticPr fontId="2" type="noConversion"/>
  </si>
  <si>
    <t>H</t>
    <phoneticPr fontId="2" type="noConversion"/>
  </si>
  <si>
    <t>0x44</t>
    <phoneticPr fontId="2" type="noConversion"/>
  </si>
  <si>
    <t>reg_syn_set[23:16]</t>
    <phoneticPr fontId="2" type="noConversion"/>
  </si>
  <si>
    <t>0x15</t>
    <phoneticPr fontId="2" type="noConversion"/>
  </si>
  <si>
    <t>0xCF</t>
    <phoneticPr fontId="2" type="noConversion"/>
  </si>
  <si>
    <t>reg_syn_set[15:8]</t>
    <phoneticPr fontId="2" type="noConversion"/>
  </si>
  <si>
    <t>synthesizer set</t>
    <phoneticPr fontId="2" type="noConversion"/>
  </si>
  <si>
    <t>DISP_TOP0</t>
    <phoneticPr fontId="2" type="noConversion"/>
  </si>
  <si>
    <t>resolution related</t>
    <phoneticPr fontId="2" type="noConversion"/>
  </si>
  <si>
    <t>synthesizer set</t>
    <phoneticPr fontId="2" type="noConversion"/>
  </si>
  <si>
    <t>0x11</t>
    <phoneticPr fontId="2" type="noConversion"/>
  </si>
  <si>
    <t>DISP_TOP0</t>
    <phoneticPr fontId="2" type="noConversion"/>
  </si>
  <si>
    <t>resolution related</t>
    <phoneticPr fontId="2" type="noConversion"/>
  </si>
  <si>
    <t>reg_syn_set[15:8]</t>
    <phoneticPr fontId="2" type="noConversion"/>
  </si>
  <si>
    <t>synthesizer set</t>
    <phoneticPr fontId="2" type="noConversion"/>
  </si>
  <si>
    <t>H</t>
    <phoneticPr fontId="2" type="noConversion"/>
  </si>
  <si>
    <t>0x63</t>
    <phoneticPr fontId="2" type="noConversion"/>
  </si>
  <si>
    <t>reg_syn_set[23:16]</t>
    <phoneticPr fontId="2" type="noConversion"/>
  </si>
  <si>
    <t>DISP_TOP0</t>
    <phoneticPr fontId="2" type="noConversion"/>
  </si>
  <si>
    <t>0x20</t>
    <phoneticPr fontId="2" type="noConversion"/>
  </si>
  <si>
    <t>reg_syn_set[7:0]</t>
    <phoneticPr fontId="2" type="noConversion"/>
  </si>
  <si>
    <t>0x10</t>
    <phoneticPr fontId="2" type="noConversion"/>
  </si>
  <si>
    <t>0xCD</t>
    <phoneticPr fontId="2" type="noConversion"/>
  </si>
  <si>
    <t>reg_syn_set[15:8]</t>
    <phoneticPr fontId="2" type="noConversion"/>
  </si>
  <si>
    <t>0x23</t>
    <phoneticPr fontId="2" type="noConversion"/>
  </si>
  <si>
    <t>synthesizer set</t>
    <phoneticPr fontId="2" type="noConversion"/>
  </si>
  <si>
    <t>0x14</t>
    <phoneticPr fontId="2" type="noConversion"/>
  </si>
  <si>
    <t>resolution related</t>
    <phoneticPr fontId="2" type="noConversion"/>
  </si>
  <si>
    <t>synthesizer set</t>
    <phoneticPr fontId="2" type="noConversion"/>
  </si>
  <si>
    <t>0x00</t>
    <phoneticPr fontId="2" type="noConversion"/>
  </si>
  <si>
    <t>reg_syn_set[15:8]</t>
    <phoneticPr fontId="2" type="noConversion"/>
  </si>
  <si>
    <t>DISP_TOP0</t>
    <phoneticPr fontId="2" type="noConversion"/>
  </si>
  <si>
    <t>0x11</t>
    <phoneticPr fontId="2" type="noConversion"/>
  </si>
  <si>
    <t>0x60</t>
    <phoneticPr fontId="2" type="noConversion"/>
  </si>
  <si>
    <t>0xa1</t>
    <phoneticPr fontId="2" type="noConversion"/>
  </si>
  <si>
    <t>resolution related</t>
    <phoneticPr fontId="2" type="noConversion"/>
  </si>
  <si>
    <t>0x14</t>
    <phoneticPr fontId="2" type="noConversion"/>
  </si>
  <si>
    <t>synthesizer set</t>
    <phoneticPr fontId="2" type="noConversion"/>
  </si>
  <si>
    <t>DISP_TOP0</t>
    <phoneticPr fontId="2" type="noConversion"/>
  </si>
  <si>
    <t>0xA9</t>
    <phoneticPr fontId="2" type="noConversion"/>
  </si>
  <si>
    <t>reg_syn_set[15:8]</t>
    <phoneticPr fontId="2" type="noConversion"/>
  </si>
  <si>
    <t>0x95</t>
    <phoneticPr fontId="2" type="noConversion"/>
  </si>
  <si>
    <t>resolution related</t>
    <phoneticPr fontId="2" type="noConversion"/>
  </si>
  <si>
    <t>0x1A</t>
    <phoneticPr fontId="2" type="noConversion"/>
  </si>
  <si>
    <t>0xd1</t>
    <phoneticPr fontId="2" type="noConversion"/>
  </si>
  <si>
    <t>reg_syn_set[15:8]</t>
    <phoneticPr fontId="2" type="noConversion"/>
  </si>
  <si>
    <t>synthesizer set</t>
    <phoneticPr fontId="2" type="noConversion"/>
  </si>
  <si>
    <t>DISP_TOP0</t>
    <phoneticPr fontId="2" type="noConversion"/>
  </si>
  <si>
    <t>0x45</t>
    <phoneticPr fontId="2" type="noConversion"/>
  </si>
  <si>
    <t>DISP_TOP0</t>
    <phoneticPr fontId="2" type="noConversion"/>
  </si>
  <si>
    <t>reg_syn_set[7:0]</t>
    <phoneticPr fontId="2" type="noConversion"/>
  </si>
  <si>
    <t>synthesizer set</t>
    <phoneticPr fontId="2" type="noConversion"/>
  </si>
  <si>
    <t>0x10</t>
    <phoneticPr fontId="2" type="noConversion"/>
  </si>
  <si>
    <t>0xd1</t>
    <phoneticPr fontId="2" type="noConversion"/>
  </si>
  <si>
    <t>H</t>
    <phoneticPr fontId="2" type="noConversion"/>
  </si>
  <si>
    <t>0x45</t>
    <phoneticPr fontId="2" type="noConversion"/>
  </si>
  <si>
    <t>reg_syn_set[23:16]</t>
    <phoneticPr fontId="2" type="noConversion"/>
  </si>
  <si>
    <t>synthesizer set</t>
    <phoneticPr fontId="2" type="noConversion"/>
  </si>
  <si>
    <t>0x11</t>
    <phoneticPr fontId="2" type="noConversion"/>
  </si>
  <si>
    <t>0x17</t>
    <phoneticPr fontId="2" type="noConversion"/>
  </si>
  <si>
    <t>reg_syn_set[7:0]</t>
    <phoneticPr fontId="2" type="noConversion"/>
  </si>
  <si>
    <t>0xd1</t>
    <phoneticPr fontId="2" type="noConversion"/>
  </si>
  <si>
    <t>reg_syn_set[15:8]</t>
    <phoneticPr fontId="2" type="noConversion"/>
  </si>
  <si>
    <t>0x10</t>
    <phoneticPr fontId="2" type="noConversion"/>
  </si>
  <si>
    <t>H</t>
    <phoneticPr fontId="2" type="noConversion"/>
  </si>
  <si>
    <t>0x45</t>
    <phoneticPr fontId="2" type="noConversion"/>
  </si>
  <si>
    <t>reg_syn_set[23:16]</t>
    <phoneticPr fontId="2" type="noConversion"/>
  </si>
  <si>
    <t>0x17</t>
    <phoneticPr fontId="2" type="noConversion"/>
  </si>
  <si>
    <t>resolution related</t>
    <phoneticPr fontId="2" type="noConversion"/>
  </si>
  <si>
    <t>DISP_TOP0</t>
    <phoneticPr fontId="2" type="noConversion"/>
  </si>
  <si>
    <t>synthesizer set</t>
    <phoneticPr fontId="2" type="noConversion"/>
  </si>
  <si>
    <t>0x10</t>
    <phoneticPr fontId="2" type="noConversion"/>
  </si>
  <si>
    <t>0x45</t>
    <phoneticPr fontId="2" type="noConversion"/>
  </si>
  <si>
    <t>DISP_TOP0</t>
    <phoneticPr fontId="2" type="noConversion"/>
  </si>
  <si>
    <t>0x11</t>
    <phoneticPr fontId="2" type="noConversion"/>
  </si>
  <si>
    <t>reg_syn_set[7:0]</t>
    <phoneticPr fontId="2" type="noConversion"/>
  </si>
  <si>
    <t>0xd1</t>
    <phoneticPr fontId="2" type="noConversion"/>
  </si>
  <si>
    <t>0x45</t>
    <phoneticPr fontId="2" type="noConversion"/>
  </si>
  <si>
    <t>synthesizer set</t>
    <phoneticPr fontId="2" type="noConversion"/>
  </si>
  <si>
    <t>resolution related</t>
    <phoneticPr fontId="2" type="noConversion"/>
  </si>
  <si>
    <t>reg_syn_set[15:8]</t>
    <phoneticPr fontId="2" type="noConversion"/>
  </si>
  <si>
    <t>0x10</t>
    <phoneticPr fontId="2" type="noConversion"/>
  </si>
  <si>
    <t>resolution related</t>
    <phoneticPr fontId="2" type="noConversion"/>
  </si>
  <si>
    <t>0x10</t>
    <phoneticPr fontId="2" type="noConversion"/>
  </si>
  <si>
    <t>0x45</t>
    <phoneticPr fontId="2" type="noConversion"/>
  </si>
  <si>
    <t>reg_syn_set[7:0]</t>
    <phoneticPr fontId="2" type="noConversion"/>
  </si>
  <si>
    <t>synthesizer set</t>
    <phoneticPr fontId="2" type="noConversion"/>
  </si>
  <si>
    <t>reg_syn_set[15:8]</t>
    <phoneticPr fontId="2" type="noConversion"/>
  </si>
  <si>
    <t>synthesizer set</t>
    <phoneticPr fontId="2" type="noConversion"/>
  </si>
  <si>
    <t>DISP_TOP0</t>
    <phoneticPr fontId="2" type="noConversion"/>
  </si>
  <si>
    <t>0x10</t>
    <phoneticPr fontId="2" type="noConversion"/>
  </si>
  <si>
    <t>0x00</t>
    <phoneticPr fontId="2" type="noConversion"/>
  </si>
  <si>
    <t>reg_syn_set[23:16]</t>
    <phoneticPr fontId="2" type="noConversion"/>
  </si>
  <si>
    <t>DISP_TOP0</t>
    <phoneticPr fontId="2" type="noConversion"/>
  </si>
  <si>
    <t>0x11</t>
    <phoneticPr fontId="2" type="noConversion"/>
  </si>
  <si>
    <t>0x20</t>
    <phoneticPr fontId="2" type="noConversion"/>
  </si>
  <si>
    <t>resolution related</t>
    <phoneticPr fontId="2" type="noConversion"/>
  </si>
  <si>
    <t>DISP_TOP0</t>
    <phoneticPr fontId="2" type="noConversion"/>
  </si>
  <si>
    <t>0x10</t>
    <phoneticPr fontId="2" type="noConversion"/>
  </si>
  <si>
    <t>H</t>
    <phoneticPr fontId="2" type="noConversion"/>
  </si>
  <si>
    <t>0x00</t>
    <phoneticPr fontId="2" type="noConversion"/>
  </si>
  <si>
    <t>0xEE</t>
    <phoneticPr fontId="2" type="noConversion"/>
  </si>
  <si>
    <t>0x12</t>
    <phoneticPr fontId="2" type="noConversion"/>
  </si>
  <si>
    <t>0x12</t>
    <phoneticPr fontId="2" type="noConversion"/>
  </si>
  <si>
    <t>0x13</t>
    <phoneticPr fontId="2" type="noConversion"/>
  </si>
  <si>
    <t>0x13</t>
    <phoneticPr fontId="2" type="noConversion"/>
  </si>
  <si>
    <t>0x13</t>
    <phoneticPr fontId="2" type="noConversion"/>
  </si>
  <si>
    <t>720_59D97P</t>
    <phoneticPr fontId="2" type="noConversion"/>
  </si>
  <si>
    <t>1080_29D94P</t>
    <phoneticPr fontId="2" type="noConversion"/>
  </si>
  <si>
    <t>1080_59D97P</t>
    <phoneticPr fontId="2" type="noConversion"/>
  </si>
  <si>
    <t>0xc3</t>
    <phoneticPr fontId="2" type="noConversion"/>
  </si>
  <si>
    <t>0x4b</t>
    <phoneticPr fontId="2" type="noConversion"/>
  </si>
  <si>
    <t>0x4b</t>
    <phoneticPr fontId="2" type="noConversion"/>
  </si>
  <si>
    <t>0xc3</t>
    <phoneticPr fontId="2" type="noConversion"/>
  </si>
  <si>
    <t>0xc3</t>
    <phoneticPr fontId="2" type="noConversion"/>
  </si>
  <si>
    <t>0x4b</t>
    <phoneticPr fontId="2" type="noConversion"/>
  </si>
  <si>
    <t>0x91</t>
    <phoneticPr fontId="2" type="noConversion"/>
  </si>
  <si>
    <t>0x98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</si>
</sst>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rgb="FFFF0000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9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 applyAlignment="1">
      <alignment vertical="center" shrinkToFit="1"/>
    </xf>
    <xf numFmtId="0" fontId="0" fillId="0" borderId="3" xfId="0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 applyAlignment="1">
      <alignment vertical="center" wrapText="1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8" fillId="0" borderId="6" xfId="0" applyFont="1" applyFill="1" applyBorder="1">
      <alignment vertical="center"/>
    </xf>
    <xf numFmtId="0" fontId="13" fillId="0" borderId="6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12" fillId="7" borderId="3" xfId="0" applyNumberFormat="1" applyFont="1" applyFill="1" applyBorder="1" applyAlignment="1" applyProtection="1">
      <alignment horizontal="center" vertical="center"/>
    </xf>
    <xf numFmtId="0" fontId="8" fillId="11" borderId="0" xfId="0" applyFont="1" applyFill="1" applyBorder="1">
      <alignment vertical="center"/>
    </xf>
    <xf numFmtId="0" fontId="13" fillId="11" borderId="0" xfId="0" applyFont="1" applyFill="1" applyBorder="1">
      <alignment vertical="center"/>
    </xf>
    <xf numFmtId="0" fontId="8" fillId="11" borderId="0" xfId="0" applyFont="1" applyFill="1" applyBorder="1" applyAlignment="1">
      <alignment horizontal="center" vertical="center"/>
    </xf>
    <xf numFmtId="0" fontId="12" fillId="11" borderId="0" xfId="0" applyNumberFormat="1" applyFont="1" applyFill="1" applyBorder="1" applyAlignment="1" applyProtection="1">
      <alignment horizontal="center"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horizontal="left" vertical="center" wrapText="1"/>
    </xf>
    <xf numFmtId="0" fontId="19" fillId="0" borderId="1" xfId="0" applyFont="1" applyFill="1" applyBorder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0" fontId="12" fillId="7" borderId="6" xfId="0" applyNumberFormat="1" applyFont="1" applyFill="1" applyBorder="1" applyAlignment="1" applyProtection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19" fillId="0" borderId="6" xfId="0" applyFont="1" applyFill="1" applyBorder="1">
      <alignment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3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0</xdr:row>
          <xdr:rowOff>30480</xdr:rowOff>
        </xdr:from>
        <xdr:to>
          <xdr:col>2</xdr:col>
          <xdr:colOff>22860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zoomScale="80" workbookViewId="0">
      <selection activeCell="B27" sqref="B27"/>
    </sheetView>
  </sheetViews>
  <sheetFormatPr defaultRowHeight="16.2" x14ac:dyDescent="0.3"/>
  <cols>
    <col min="1" max="1" width="30.33203125" customWidth="1"/>
    <col min="2" max="2" width="20" customWidth="1"/>
    <col min="3" max="3" width="12.77734375" customWidth="1"/>
    <col min="8" max="8" width="2.109375" customWidth="1"/>
    <col min="10" max="10" width="15.33203125" customWidth="1"/>
    <col min="13" max="13" width="13.77734375" bestFit="1" customWidth="1"/>
    <col min="15" max="15" width="18.77734375" bestFit="1" customWidth="1"/>
    <col min="16" max="16" width="22.21875" bestFit="1" customWidth="1"/>
    <col min="17" max="17" width="15.21875" bestFit="1" customWidth="1"/>
    <col min="18" max="18" width="11.44140625" bestFit="1" customWidth="1"/>
  </cols>
  <sheetData>
    <row r="1" spans="1:16" ht="35.25" customHeight="1" x14ac:dyDescent="0.3">
      <c r="A1" s="12" t="s">
        <v>33</v>
      </c>
      <c r="B1" s="11"/>
      <c r="E1" s="88" t="s">
        <v>9</v>
      </c>
      <c r="F1" s="88"/>
      <c r="G1" s="10" t="s">
        <v>8</v>
      </c>
      <c r="I1" s="88" t="s">
        <v>7</v>
      </c>
      <c r="J1" s="88"/>
      <c r="K1" s="10" t="s">
        <v>21</v>
      </c>
      <c r="M1" s="9" t="s">
        <v>6</v>
      </c>
      <c r="O1" s="33" t="s">
        <v>23</v>
      </c>
      <c r="P1" s="34" t="s">
        <v>334</v>
      </c>
    </row>
    <row r="2" spans="1:16" x14ac:dyDescent="0.3">
      <c r="A2" s="8"/>
      <c r="B2" s="8"/>
      <c r="C2" s="8"/>
      <c r="D2" s="7"/>
      <c r="O2" s="33" t="s">
        <v>25</v>
      </c>
      <c r="P2" s="34" t="s">
        <v>35</v>
      </c>
    </row>
    <row r="3" spans="1:16" s="1" customFormat="1" ht="20.399999999999999" x14ac:dyDescent="0.3">
      <c r="A3" s="2" t="s">
        <v>5</v>
      </c>
      <c r="B3" s="2" t="s">
        <v>4</v>
      </c>
      <c r="C3" s="2" t="s">
        <v>3</v>
      </c>
      <c r="O3" s="36" t="s">
        <v>26</v>
      </c>
      <c r="P3" s="35" t="s">
        <v>331</v>
      </c>
    </row>
    <row r="4" spans="1:16" s="1" customFormat="1" ht="20.399999999999999" x14ac:dyDescent="0.3">
      <c r="A4" s="6" t="s">
        <v>41</v>
      </c>
      <c r="B4" s="5" t="s">
        <v>133</v>
      </c>
      <c r="C4" s="4" t="s">
        <v>2</v>
      </c>
      <c r="D4" s="3" t="s">
        <v>1</v>
      </c>
    </row>
    <row r="5" spans="1:16" s="1" customFormat="1" ht="20.399999999999999" x14ac:dyDescent="0.3">
      <c r="A5" s="6" t="s">
        <v>139</v>
      </c>
      <c r="B5" s="5" t="s">
        <v>134</v>
      </c>
      <c r="C5" s="4" t="s">
        <v>2</v>
      </c>
      <c r="D5" s="3" t="s">
        <v>1</v>
      </c>
    </row>
    <row r="6" spans="1:16" s="1" customFormat="1" ht="20.399999999999999" x14ac:dyDescent="0.3">
      <c r="A6" s="6" t="s">
        <v>332</v>
      </c>
      <c r="B6" s="5" t="s">
        <v>333</v>
      </c>
      <c r="C6" s="4" t="s">
        <v>2</v>
      </c>
      <c r="D6" s="3" t="s">
        <v>1</v>
      </c>
    </row>
    <row r="7" spans="1:16" s="1" customFormat="1" ht="20.399999999999999" x14ac:dyDescent="0.3">
      <c r="A7" s="6" t="s">
        <v>326</v>
      </c>
      <c r="B7" s="5" t="s">
        <v>135</v>
      </c>
      <c r="C7" s="4" t="s">
        <v>2</v>
      </c>
      <c r="D7" s="3" t="s">
        <v>1</v>
      </c>
    </row>
    <row r="8" spans="1:16" s="1" customFormat="1" ht="20.399999999999999" x14ac:dyDescent="0.3">
      <c r="A8" s="6" t="s">
        <v>322</v>
      </c>
      <c r="B8" s="5" t="s">
        <v>136</v>
      </c>
      <c r="C8" s="4" t="s">
        <v>2</v>
      </c>
      <c r="D8" s="3" t="s">
        <v>1</v>
      </c>
    </row>
    <row r="9" spans="1:16" s="1" customFormat="1" ht="20.399999999999999" x14ac:dyDescent="0.3">
      <c r="A9" s="6" t="s">
        <v>250</v>
      </c>
      <c r="B9" s="5" t="s">
        <v>251</v>
      </c>
      <c r="C9" s="4" t="s">
        <v>2</v>
      </c>
      <c r="D9" s="3" t="s">
        <v>1</v>
      </c>
    </row>
    <row r="10" spans="1:16" s="1" customFormat="1" ht="20.399999999999999" x14ac:dyDescent="0.3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83820</xdr:colOff>
                <xdr:row>0</xdr:row>
                <xdr:rowOff>30480</xdr:rowOff>
              </from>
              <to>
                <xdr:col>2</xdr:col>
                <xdr:colOff>22860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94"/>
  <sheetViews>
    <sheetView topLeftCell="A31" zoomScale="115" zoomScaleNormal="115" workbookViewId="0">
      <selection activeCell="F45" sqref="F45"/>
    </sheetView>
  </sheetViews>
  <sheetFormatPr defaultRowHeight="16.2" x14ac:dyDescent="0.3"/>
  <cols>
    <col min="1" max="1" width="24.109375" customWidth="1"/>
    <col min="2" max="2" width="30.7773437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323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327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327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327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9" spans="1:12" ht="28.2" x14ac:dyDescent="0.3">
      <c r="A9" s="89" t="s">
        <v>161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354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356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58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359</v>
      </c>
      <c r="I15" s="21" t="s">
        <v>58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83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347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520</v>
      </c>
      <c r="B32" s="62" t="s">
        <v>499</v>
      </c>
      <c r="C32" s="62" t="s">
        <v>52</v>
      </c>
      <c r="D32" s="63" t="s">
        <v>521</v>
      </c>
      <c r="E32" s="63" t="s">
        <v>36</v>
      </c>
      <c r="F32" s="63" t="s">
        <v>522</v>
      </c>
      <c r="G32" s="84" t="s">
        <v>37</v>
      </c>
      <c r="H32" s="63" t="s">
        <v>34</v>
      </c>
      <c r="I32" s="85" t="s">
        <v>38</v>
      </c>
      <c r="J32" s="20" t="e">
        <f>DEC2HEX(MOD(K32,256))</f>
        <v>#REF!</v>
      </c>
      <c r="K32" s="37" t="e">
        <f>(432000000 * 524288) / (P51*P54*L56)*#REF!/K24</f>
        <v>#REF!</v>
      </c>
      <c r="L32" s="37"/>
    </row>
    <row r="33" spans="1:12" s="20" customFormat="1" x14ac:dyDescent="0.3">
      <c r="A33" s="31" t="s">
        <v>51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523</v>
      </c>
      <c r="H33" s="21" t="s">
        <v>34</v>
      </c>
      <c r="I33" s="86" t="s">
        <v>524</v>
      </c>
      <c r="J33" s="20" t="e">
        <f>DEC2HEX(MOD((K32-MOD(K32,256))/256,256))</f>
        <v>#REF!</v>
      </c>
      <c r="K33" s="37" t="e">
        <f>DEC2HEX(K32)</f>
        <v>#REF!</v>
      </c>
      <c r="L33" s="37"/>
    </row>
    <row r="34" spans="1:12" s="20" customFormat="1" x14ac:dyDescent="0.3">
      <c r="A34" s="31" t="s">
        <v>51</v>
      </c>
      <c r="B34" s="32" t="s">
        <v>55</v>
      </c>
      <c r="C34" s="32" t="s">
        <v>430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44</v>
      </c>
      <c r="J34" s="20" t="e">
        <f>DEC2HEX((K32-MOD(K32,256))/65536)</f>
        <v>#REF!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335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380</v>
      </c>
      <c r="J39" s="20" t="e">
        <f>DEC2HEX(MOD(K39,256))</f>
        <v>#REF!</v>
      </c>
      <c r="K39" s="37" t="e">
        <f>(432000000 * 524288) /(P51*P54*L56)*#REF!/K24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43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381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521</v>
      </c>
      <c r="E42" s="21" t="s">
        <v>36</v>
      </c>
      <c r="F42" s="21" t="s">
        <v>526</v>
      </c>
      <c r="G42" s="22" t="s">
        <v>37</v>
      </c>
      <c r="H42" s="21" t="s">
        <v>34</v>
      </c>
      <c r="I42" s="21" t="s">
        <v>380</v>
      </c>
      <c r="J42" s="20" t="e">
        <f>DEC2HEX(MOD(K42,256))</f>
        <v>#DIV/0!</v>
      </c>
      <c r="K42" s="37" t="e">
        <f>(432000000 * 524288) /(P54*P57*L59)*#REF!/K27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21" t="s">
        <v>38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528</v>
      </c>
      <c r="G44" s="22" t="s">
        <v>37</v>
      </c>
      <c r="H44" s="21" t="s">
        <v>34</v>
      </c>
      <c r="I44" s="21" t="s">
        <v>381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152</v>
      </c>
      <c r="B49" s="32" t="s">
        <v>70</v>
      </c>
      <c r="C49" s="32" t="s">
        <v>68</v>
      </c>
      <c r="D49" s="21" t="s">
        <v>141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0x59</v>
      </c>
      <c r="J49" s="20" t="str">
        <f>DEC2HEX(MOD(K49,256))</f>
        <v>59</v>
      </c>
      <c r="K49" s="37">
        <f>P51-1</f>
        <v>857</v>
      </c>
      <c r="L49" s="91" t="s">
        <v>285</v>
      </c>
      <c r="M49" s="91"/>
      <c r="N49" s="91"/>
      <c r="O49" s="91"/>
      <c r="P49" s="91"/>
    </row>
    <row r="50" spans="1:16" s="20" customFormat="1" x14ac:dyDescent="0.3">
      <c r="A50" s="31" t="s">
        <v>152</v>
      </c>
      <c r="B50" s="62" t="s">
        <v>70</v>
      </c>
      <c r="C50" s="62"/>
      <c r="D50" s="21" t="s">
        <v>141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0x03</v>
      </c>
      <c r="J50" s="20" t="str">
        <f>DEC2HEX((K49-MOD(K49,256))/256)</f>
        <v>3</v>
      </c>
      <c r="K50" s="37"/>
      <c r="L50" s="72" t="s">
        <v>286</v>
      </c>
      <c r="M50" s="72" t="s">
        <v>260</v>
      </c>
      <c r="N50" s="72" t="s">
        <v>261</v>
      </c>
      <c r="O50" s="72" t="s">
        <v>287</v>
      </c>
      <c r="P50" s="72" t="s">
        <v>264</v>
      </c>
    </row>
    <row r="51" spans="1:16" s="20" customFormat="1" x14ac:dyDescent="0.3">
      <c r="A51" s="31" t="s">
        <v>151</v>
      </c>
      <c r="B51" s="32" t="s">
        <v>71</v>
      </c>
      <c r="C51" s="32" t="s">
        <v>68</v>
      </c>
      <c r="D51" s="21" t="s">
        <v>140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0xC</v>
      </c>
      <c r="J51" s="20" t="str">
        <f>DEC2HEX(MOD(K51,256))</f>
        <v>C</v>
      </c>
      <c r="K51" s="37">
        <f>P54-1</f>
        <v>524</v>
      </c>
      <c r="L51" s="73">
        <v>62</v>
      </c>
      <c r="M51" s="73">
        <v>60</v>
      </c>
      <c r="N51" s="73">
        <v>720</v>
      </c>
      <c r="O51" s="73">
        <f>P51-N51-M51-L51</f>
        <v>16</v>
      </c>
      <c r="P51" s="73">
        <v>858</v>
      </c>
    </row>
    <row r="52" spans="1:16" s="20" customFormat="1" x14ac:dyDescent="0.3">
      <c r="A52" s="31" t="s">
        <v>151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0x02</v>
      </c>
      <c r="J52" s="20" t="str">
        <f>DEC2HEX((K51-MOD(K51,256))/256)</f>
        <v>2</v>
      </c>
      <c r="K52" s="37"/>
      <c r="L52" s="91" t="s">
        <v>288</v>
      </c>
      <c r="M52" s="91"/>
      <c r="N52" s="91"/>
      <c r="O52" s="91"/>
      <c r="P52" s="91"/>
    </row>
    <row r="53" spans="1:16" s="20" customFormat="1" x14ac:dyDescent="0.3">
      <c r="A53" s="31" t="s">
        <v>151</v>
      </c>
      <c r="B53" s="32" t="s">
        <v>69</v>
      </c>
      <c r="C53" s="32" t="s">
        <v>68</v>
      </c>
      <c r="D53" s="21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286</v>
      </c>
      <c r="M53" s="72" t="s">
        <v>289</v>
      </c>
      <c r="N53" s="72" t="s">
        <v>290</v>
      </c>
      <c r="O53" s="72" t="s">
        <v>287</v>
      </c>
      <c r="P53" s="72" t="s">
        <v>291</v>
      </c>
    </row>
    <row r="54" spans="1:16" s="20" customFormat="1" x14ac:dyDescent="0.3">
      <c r="A54" s="31" t="s">
        <v>151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30</v>
      </c>
      <c r="N54" s="73">
        <v>480</v>
      </c>
      <c r="O54" s="73">
        <f>P54-N54-M54-L54</f>
        <v>9</v>
      </c>
      <c r="P54" s="73">
        <v>525</v>
      </c>
    </row>
    <row r="55" spans="1:16" s="20" customFormat="1" x14ac:dyDescent="0.3">
      <c r="A55" s="31" t="s">
        <v>151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0x3D</v>
      </c>
      <c r="J55" s="20" t="str">
        <f>DEC2HEX(MOD(K55,256))</f>
        <v>3D</v>
      </c>
      <c r="K55" s="37">
        <f>L51-1</f>
        <v>61</v>
      </c>
      <c r="L55" s="91" t="s">
        <v>268</v>
      </c>
      <c r="M55" s="91"/>
      <c r="N55" s="91"/>
      <c r="O55" s="91"/>
      <c r="P55" s="91"/>
    </row>
    <row r="56" spans="1:16" s="20" customFormat="1" x14ac:dyDescent="0.3">
      <c r="A56" s="31" t="s">
        <v>151</v>
      </c>
      <c r="B56" s="32" t="s">
        <v>72</v>
      </c>
      <c r="C56" s="32"/>
      <c r="D56" s="21" t="s">
        <v>140</v>
      </c>
      <c r="E56" s="21" t="s">
        <v>36</v>
      </c>
      <c r="F56" s="21" t="s">
        <v>64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151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151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151</v>
      </c>
      <c r="B59" s="32" t="s">
        <v>74</v>
      </c>
      <c r="C59" s="32" t="s">
        <v>68</v>
      </c>
      <c r="D59" s="21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151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151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0x7A</v>
      </c>
      <c r="J61" s="20" t="str">
        <f>DEC2HEX(MOD(K61,256))</f>
        <v>7A</v>
      </c>
      <c r="K61" s="37">
        <f>L51+M51</f>
        <v>122</v>
      </c>
      <c r="L61" s="37"/>
    </row>
    <row r="62" spans="1:16" s="20" customFormat="1" x14ac:dyDescent="0.3">
      <c r="A62" s="31" t="s">
        <v>151</v>
      </c>
      <c r="B62" s="32" t="s">
        <v>77</v>
      </c>
      <c r="C62" s="32"/>
      <c r="D62" s="21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151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0x49</v>
      </c>
      <c r="J63" s="20" t="str">
        <f>DEC2HEX(MOD(K63,256))</f>
        <v>49</v>
      </c>
      <c r="K63" s="37">
        <f>L51+M51+N51-1</f>
        <v>841</v>
      </c>
      <c r="L63" s="37"/>
    </row>
    <row r="64" spans="1:16" s="20" customFormat="1" x14ac:dyDescent="0.3">
      <c r="A64" s="31" t="s">
        <v>151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0x03</v>
      </c>
      <c r="J64" s="20" t="str">
        <f>DEC2HEX((K63-MOD(K63,256))/256)</f>
        <v>3</v>
      </c>
      <c r="K64" s="37"/>
      <c r="L64" s="37"/>
    </row>
    <row r="65" spans="1:12" s="20" customFormat="1" x14ac:dyDescent="0.3">
      <c r="A65" s="31" t="s">
        <v>151</v>
      </c>
      <c r="B65" s="32" t="s">
        <v>79</v>
      </c>
      <c r="C65" s="32" t="s">
        <v>68</v>
      </c>
      <c r="D65" s="21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0x24</v>
      </c>
      <c r="J65" s="20" t="str">
        <f>DEC2HEX(MOD(K65,256))</f>
        <v>24</v>
      </c>
      <c r="K65" s="37">
        <f>L54+M54</f>
        <v>36</v>
      </c>
      <c r="L65" s="37"/>
    </row>
    <row r="66" spans="1:12" s="20" customFormat="1" x14ac:dyDescent="0.3">
      <c r="A66" s="31" t="s">
        <v>151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151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316</v>
      </c>
      <c r="G67" s="22" t="s">
        <v>37</v>
      </c>
      <c r="H67" s="21" t="s">
        <v>34</v>
      </c>
      <c r="I67" s="21" t="str">
        <f t="shared" si="0"/>
        <v>0x03</v>
      </c>
      <c r="J67" s="20" t="str">
        <f>DEC2HEX(MOD(K67,256))</f>
        <v>3</v>
      </c>
      <c r="K67" s="37">
        <f>L54+M54+N54-1</f>
        <v>515</v>
      </c>
      <c r="L67" s="37"/>
    </row>
    <row r="68" spans="1:12" s="20" customFormat="1" x14ac:dyDescent="0.3">
      <c r="A68" s="31" t="s">
        <v>151</v>
      </c>
      <c r="B68" s="32" t="s">
        <v>80</v>
      </c>
      <c r="C68" s="32"/>
      <c r="D68" s="21" t="s">
        <v>140</v>
      </c>
      <c r="E68" s="21" t="s">
        <v>36</v>
      </c>
      <c r="F68" s="21" t="s">
        <v>319</v>
      </c>
      <c r="G68" s="24" t="s">
        <v>39</v>
      </c>
      <c r="H68" s="21" t="s">
        <v>34</v>
      </c>
      <c r="I68" s="21" t="str">
        <f t="shared" si="0"/>
        <v>0x02</v>
      </c>
      <c r="J68" s="20" t="str">
        <f>DEC2HEX((K67-MOD(K67,256))/256)</f>
        <v>2</v>
      </c>
      <c r="K68" s="37"/>
      <c r="L68" s="37"/>
    </row>
    <row r="69" spans="1:12" s="20" customFormat="1" x14ac:dyDescent="0.3">
      <c r="A69" s="31" t="s">
        <v>151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313</v>
      </c>
      <c r="G69" s="22" t="s">
        <v>37</v>
      </c>
      <c r="H69" s="21" t="s">
        <v>34</v>
      </c>
      <c r="I69" s="21" t="str">
        <f t="shared" si="0"/>
        <v>0x7A</v>
      </c>
      <c r="J69" s="20" t="str">
        <f>J61</f>
        <v>7A</v>
      </c>
      <c r="K69" s="37"/>
      <c r="L69" s="37"/>
    </row>
    <row r="70" spans="1:12" s="20" customFormat="1" x14ac:dyDescent="0.3">
      <c r="A70" s="31" t="s">
        <v>151</v>
      </c>
      <c r="B70" s="55" t="s">
        <v>105</v>
      </c>
      <c r="C70" s="32"/>
      <c r="D70" s="21" t="s">
        <v>140</v>
      </c>
      <c r="E70" s="21" t="s">
        <v>36</v>
      </c>
      <c r="F70" s="21" t="s">
        <v>315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151</v>
      </c>
      <c r="B71" s="55" t="s">
        <v>106</v>
      </c>
      <c r="C71" s="32" t="s">
        <v>104</v>
      </c>
      <c r="D71" s="21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0x49</v>
      </c>
      <c r="J71" s="20" t="str">
        <f t="shared" si="1"/>
        <v>49</v>
      </c>
      <c r="K71" s="37"/>
      <c r="L71" s="37"/>
    </row>
    <row r="72" spans="1:12" s="20" customFormat="1" x14ac:dyDescent="0.3">
      <c r="A72" s="31" t="s">
        <v>151</v>
      </c>
      <c r="B72" s="55" t="s">
        <v>106</v>
      </c>
      <c r="C72" s="32"/>
      <c r="D72" s="21" t="s">
        <v>140</v>
      </c>
      <c r="E72" s="21" t="s">
        <v>36</v>
      </c>
      <c r="F72" s="21" t="s">
        <v>305</v>
      </c>
      <c r="G72" s="24" t="s">
        <v>39</v>
      </c>
      <c r="H72" s="21" t="s">
        <v>34</v>
      </c>
      <c r="I72" s="21" t="str">
        <f t="shared" si="0"/>
        <v>0x03</v>
      </c>
      <c r="J72" s="20" t="str">
        <f t="shared" si="1"/>
        <v>3</v>
      </c>
      <c r="K72" s="37"/>
      <c r="L72" s="37"/>
    </row>
    <row r="73" spans="1:12" s="20" customFormat="1" x14ac:dyDescent="0.3">
      <c r="A73" s="31" t="s">
        <v>151</v>
      </c>
      <c r="B73" s="55" t="s">
        <v>107</v>
      </c>
      <c r="C73" s="32"/>
      <c r="D73" s="21" t="s">
        <v>140</v>
      </c>
      <c r="E73" s="21" t="s">
        <v>36</v>
      </c>
      <c r="F73" s="21" t="s">
        <v>302</v>
      </c>
      <c r="G73" s="22" t="s">
        <v>37</v>
      </c>
      <c r="H73" s="21" t="s">
        <v>34</v>
      </c>
      <c r="I73" s="21" t="str">
        <f t="shared" si="0"/>
        <v>0x24</v>
      </c>
      <c r="J73" s="20" t="str">
        <f t="shared" si="1"/>
        <v>24</v>
      </c>
      <c r="K73" s="37"/>
      <c r="L73" s="37"/>
    </row>
    <row r="74" spans="1:12" s="20" customFormat="1" x14ac:dyDescent="0.3">
      <c r="A74" s="31" t="s">
        <v>151</v>
      </c>
      <c r="B74" s="55" t="s">
        <v>108</v>
      </c>
      <c r="C74" s="32"/>
      <c r="D74" s="21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151</v>
      </c>
      <c r="B75" s="55" t="s">
        <v>109</v>
      </c>
      <c r="C75" s="32"/>
      <c r="D75" s="21" t="s">
        <v>140</v>
      </c>
      <c r="E75" s="21" t="s">
        <v>36</v>
      </c>
      <c r="F75" s="21" t="s">
        <v>159</v>
      </c>
      <c r="G75" s="22" t="s">
        <v>37</v>
      </c>
      <c r="H75" s="21" t="s">
        <v>34</v>
      </c>
      <c r="I75" s="21" t="str">
        <f t="shared" si="0"/>
        <v>0x03</v>
      </c>
      <c r="J75" s="20" t="str">
        <f t="shared" si="1"/>
        <v>3</v>
      </c>
      <c r="K75" s="37"/>
      <c r="L75" s="37"/>
    </row>
    <row r="76" spans="1:12" s="20" customFormat="1" x14ac:dyDescent="0.3">
      <c r="A76" s="31" t="s">
        <v>151</v>
      </c>
      <c r="B76" s="55" t="s">
        <v>110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0x02</v>
      </c>
      <c r="J76" s="20" t="str">
        <f t="shared" si="1"/>
        <v>2</v>
      </c>
      <c r="K76" s="37"/>
      <c r="L76" s="37"/>
    </row>
    <row r="77" spans="1:12" s="20" customFormat="1" x14ac:dyDescent="0.3">
      <c r="A77" s="31" t="s">
        <v>151</v>
      </c>
      <c r="B77" s="32" t="s">
        <v>111</v>
      </c>
      <c r="C77" s="32" t="s">
        <v>68</v>
      </c>
      <c r="D77" s="21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151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151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0x3D</v>
      </c>
      <c r="J79" s="20" t="str">
        <f t="shared" si="2"/>
        <v>3D</v>
      </c>
      <c r="K79" s="37"/>
      <c r="L79" s="37"/>
    </row>
    <row r="80" spans="1:12" s="20" customFormat="1" x14ac:dyDescent="0.3">
      <c r="A80" s="31" t="s">
        <v>151</v>
      </c>
      <c r="B80" s="32" t="s">
        <v>114</v>
      </c>
      <c r="C80" s="32"/>
      <c r="D80" s="21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151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0x7A</v>
      </c>
      <c r="J81" s="20" t="str">
        <f>J61</f>
        <v>7A</v>
      </c>
      <c r="K81" s="37"/>
      <c r="L81" s="37"/>
    </row>
    <row r="82" spans="1:12" s="20" customFormat="1" x14ac:dyDescent="0.3">
      <c r="A82" s="31" t="s">
        <v>151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151</v>
      </c>
      <c r="B83" s="32" t="s">
        <v>120</v>
      </c>
      <c r="C83" s="32" t="s">
        <v>68</v>
      </c>
      <c r="D83" s="21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0x49</v>
      </c>
      <c r="J83" s="20" t="str">
        <f t="shared" si="3"/>
        <v>49</v>
      </c>
      <c r="K83" s="37"/>
      <c r="L83" s="37"/>
    </row>
    <row r="84" spans="1:12" s="20" customFormat="1" x14ac:dyDescent="0.3">
      <c r="A84" s="31" t="s">
        <v>151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0x03</v>
      </c>
      <c r="J84" s="20" t="str">
        <f t="shared" si="3"/>
        <v>3</v>
      </c>
      <c r="K84" s="37"/>
      <c r="L84" s="37"/>
    </row>
    <row r="85" spans="1:12" s="20" customFormat="1" x14ac:dyDescent="0.3">
      <c r="A85" s="31" t="s">
        <v>151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0x24</v>
      </c>
      <c r="J85" s="20" t="str">
        <f t="shared" si="3"/>
        <v>24</v>
      </c>
      <c r="K85" s="37"/>
      <c r="L85" s="37"/>
    </row>
    <row r="86" spans="1:12" s="20" customFormat="1" x14ac:dyDescent="0.3">
      <c r="A86" s="31" t="s">
        <v>151</v>
      </c>
      <c r="B86" s="32" t="s">
        <v>122</v>
      </c>
      <c r="C86" s="32"/>
      <c r="D86" s="21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151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0x03</v>
      </c>
      <c r="J87" s="20" t="str">
        <f t="shared" si="3"/>
        <v>3</v>
      </c>
      <c r="K87" s="37"/>
      <c r="L87" s="37"/>
    </row>
    <row r="88" spans="1:12" s="20" customFormat="1" x14ac:dyDescent="0.3">
      <c r="A88" s="31" t="s">
        <v>151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0x02</v>
      </c>
      <c r="J88" s="20" t="str">
        <f t="shared" si="3"/>
        <v>2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21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132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  <row r="93" spans="1:12" ht="30.6" x14ac:dyDescent="0.3">
      <c r="A93" s="50"/>
      <c r="B93" s="51"/>
      <c r="C93" s="52"/>
      <c r="D93" s="90" t="s">
        <v>18</v>
      </c>
      <c r="E93" s="90"/>
      <c r="F93" s="90"/>
      <c r="G93" s="90"/>
      <c r="H93" s="53"/>
      <c r="I93" s="54"/>
      <c r="K93" s="20"/>
      <c r="L93" s="20"/>
    </row>
    <row r="94" spans="1:12" x14ac:dyDescent="0.3">
      <c r="A94" s="20"/>
      <c r="B94" s="44"/>
      <c r="C94" s="20"/>
      <c r="D94" s="20"/>
      <c r="E94" s="20"/>
      <c r="F94" s="30"/>
      <c r="G94" s="30"/>
      <c r="H94" s="30"/>
      <c r="I94" s="39"/>
    </row>
  </sheetData>
  <protectedRanges>
    <protectedRange password="EBC5" sqref="I3:I6 I28:I29 I35:I36 I39:I45" name="範圍1_3_3_1_1_1_2_1_1_2"/>
    <protectedRange password="EBC5" sqref="I46 I91:I92 I11:I27" name="範圍1_3_3_1_1_1_2_1_1_2_2"/>
    <protectedRange password="EBC5" sqref="I89:I90" name="範圍1_3_3_1_1_1_2_1_1_2_1_2"/>
    <protectedRange password="EBC5" sqref="I49:I88" name="範圍1_3_3_1_1_1_2_1_1_2_1_2_1"/>
    <protectedRange password="EBC5" sqref="I32:I34" name="範圍1_3_3_1_1_1_2_1_1_2_1"/>
  </protectedRanges>
  <mergeCells count="10">
    <mergeCell ref="A1:C1"/>
    <mergeCell ref="D93:G93"/>
    <mergeCell ref="A9:C9"/>
    <mergeCell ref="A47:C47"/>
    <mergeCell ref="L49:P49"/>
    <mergeCell ref="L52:P52"/>
    <mergeCell ref="L55:P55"/>
    <mergeCell ref="L56:P56"/>
    <mergeCell ref="A30:C30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94"/>
  <sheetViews>
    <sheetView topLeftCell="A28" zoomScale="115" zoomScaleNormal="115" workbookViewId="0">
      <selection activeCell="F45" sqref="F45"/>
    </sheetView>
  </sheetViews>
  <sheetFormatPr defaultRowHeight="16.2" x14ac:dyDescent="0.3"/>
  <cols>
    <col min="1" max="1" width="24.109375" customWidth="1"/>
    <col min="2" max="2" width="30.7773437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161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355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357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382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83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347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51</v>
      </c>
      <c r="B32" s="62" t="s">
        <v>509</v>
      </c>
      <c r="C32" s="62" t="s">
        <v>510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38</v>
      </c>
      <c r="K32" s="37"/>
      <c r="L32" s="37"/>
    </row>
    <row r="33" spans="1:12" s="20" customFormat="1" x14ac:dyDescent="0.3">
      <c r="A33" s="31" t="s">
        <v>51</v>
      </c>
      <c r="B33" s="32" t="s">
        <v>511</v>
      </c>
      <c r="C33" s="32" t="s">
        <v>512</v>
      </c>
      <c r="D33" s="21" t="s">
        <v>513</v>
      </c>
      <c r="E33" s="21" t="s">
        <v>36</v>
      </c>
      <c r="F33" s="21" t="s">
        <v>514</v>
      </c>
      <c r="G33" s="24" t="s">
        <v>39</v>
      </c>
      <c r="H33" s="21" t="s">
        <v>34</v>
      </c>
      <c r="I33" s="86" t="s">
        <v>515</v>
      </c>
      <c r="K33" s="37"/>
      <c r="L33" s="37"/>
    </row>
    <row r="34" spans="1:12" s="20" customFormat="1" x14ac:dyDescent="0.3">
      <c r="A34" s="31" t="s">
        <v>51</v>
      </c>
      <c r="B34" s="32" t="s">
        <v>516</v>
      </c>
      <c r="C34" s="32" t="s">
        <v>52</v>
      </c>
      <c r="D34" s="21" t="s">
        <v>517</v>
      </c>
      <c r="E34" s="21" t="s">
        <v>36</v>
      </c>
      <c r="F34" s="21" t="s">
        <v>518</v>
      </c>
      <c r="G34" s="22" t="s">
        <v>37</v>
      </c>
      <c r="H34" s="21" t="s">
        <v>34</v>
      </c>
      <c r="I34" s="86" t="s">
        <v>519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380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43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381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380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442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38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517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381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152</v>
      </c>
      <c r="B49" s="32" t="s">
        <v>70</v>
      </c>
      <c r="C49" s="32" t="s">
        <v>68</v>
      </c>
      <c r="D49" s="21" t="s">
        <v>141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0x5F</v>
      </c>
      <c r="J49" s="20" t="str">
        <f>DEC2HEX(MOD(K49,256))</f>
        <v>5F</v>
      </c>
      <c r="K49" s="37">
        <f>P51-1</f>
        <v>863</v>
      </c>
      <c r="L49" s="91" t="s">
        <v>195</v>
      </c>
      <c r="M49" s="91"/>
      <c r="N49" s="91"/>
      <c r="O49" s="91"/>
      <c r="P49" s="91"/>
    </row>
    <row r="50" spans="1:16" s="20" customFormat="1" x14ac:dyDescent="0.3">
      <c r="A50" s="31" t="s">
        <v>152</v>
      </c>
      <c r="B50" s="62" t="s">
        <v>70</v>
      </c>
      <c r="C50" s="62"/>
      <c r="D50" s="21" t="s">
        <v>141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0x03</v>
      </c>
      <c r="J50" s="20" t="str">
        <f>DEC2HEX((K49-MOD(K49,256))/256)</f>
        <v>3</v>
      </c>
      <c r="K50" s="37"/>
      <c r="L50" s="72" t="s">
        <v>196</v>
      </c>
      <c r="M50" s="72" t="s">
        <v>180</v>
      </c>
      <c r="N50" s="72" t="s">
        <v>197</v>
      </c>
      <c r="O50" s="72" t="s">
        <v>198</v>
      </c>
      <c r="P50" s="72" t="s">
        <v>199</v>
      </c>
    </row>
    <row r="51" spans="1:16" s="20" customFormat="1" x14ac:dyDescent="0.3">
      <c r="A51" s="31" t="s">
        <v>151</v>
      </c>
      <c r="B51" s="32" t="s">
        <v>71</v>
      </c>
      <c r="C51" s="32" t="s">
        <v>68</v>
      </c>
      <c r="D51" s="21" t="s">
        <v>140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0x70</v>
      </c>
      <c r="J51" s="20" t="str">
        <f>DEC2HEX(MOD(K51,256))</f>
        <v>70</v>
      </c>
      <c r="K51" s="37">
        <f>P54-1</f>
        <v>624</v>
      </c>
      <c r="L51" s="73">
        <v>64</v>
      </c>
      <c r="M51" s="73">
        <v>68</v>
      </c>
      <c r="N51" s="73">
        <v>720</v>
      </c>
      <c r="O51" s="73">
        <f>P51-N51-M51-L51</f>
        <v>12</v>
      </c>
      <c r="P51" s="73">
        <v>864</v>
      </c>
    </row>
    <row r="52" spans="1:16" s="20" customFormat="1" x14ac:dyDescent="0.3">
      <c r="A52" s="31" t="s">
        <v>151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0x02</v>
      </c>
      <c r="J52" s="20" t="str">
        <f>DEC2HEX((K51-MOD(K51,256))/256)</f>
        <v>2</v>
      </c>
      <c r="K52" s="37"/>
      <c r="L52" s="91" t="s">
        <v>200</v>
      </c>
      <c r="M52" s="91"/>
      <c r="N52" s="91"/>
      <c r="O52" s="91"/>
      <c r="P52" s="91"/>
    </row>
    <row r="53" spans="1:16" s="20" customFormat="1" x14ac:dyDescent="0.3">
      <c r="A53" s="31" t="s">
        <v>151</v>
      </c>
      <c r="B53" s="32" t="s">
        <v>69</v>
      </c>
      <c r="C53" s="32" t="s">
        <v>68</v>
      </c>
      <c r="D53" s="21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168</v>
      </c>
      <c r="M53" s="72" t="s">
        <v>169</v>
      </c>
      <c r="N53" s="72" t="s">
        <v>181</v>
      </c>
      <c r="O53" s="72" t="s">
        <v>198</v>
      </c>
      <c r="P53" s="72" t="s">
        <v>174</v>
      </c>
    </row>
    <row r="54" spans="1:16" s="20" customFormat="1" x14ac:dyDescent="0.3">
      <c r="A54" s="31" t="s">
        <v>151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39</v>
      </c>
      <c r="N54" s="73">
        <v>576</v>
      </c>
      <c r="O54" s="73">
        <f>P54-N54-M54-L54</f>
        <v>5</v>
      </c>
      <c r="P54" s="73">
        <v>625</v>
      </c>
    </row>
    <row r="55" spans="1:16" s="20" customFormat="1" x14ac:dyDescent="0.3">
      <c r="A55" s="31" t="s">
        <v>151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0x3F</v>
      </c>
      <c r="J55" s="20" t="str">
        <f>DEC2HEX(MOD(K55,256))</f>
        <v>3F</v>
      </c>
      <c r="K55" s="37">
        <f>L51-1</f>
        <v>63</v>
      </c>
      <c r="L55" s="91" t="s">
        <v>201</v>
      </c>
      <c r="M55" s="91"/>
      <c r="N55" s="91"/>
      <c r="O55" s="91"/>
      <c r="P55" s="91"/>
    </row>
    <row r="56" spans="1:16" s="20" customFormat="1" x14ac:dyDescent="0.3">
      <c r="A56" s="31" t="s">
        <v>151</v>
      </c>
      <c r="B56" s="32" t="s">
        <v>72</v>
      </c>
      <c r="C56" s="32"/>
      <c r="D56" s="21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50</v>
      </c>
      <c r="M56" s="92"/>
      <c r="N56" s="92"/>
      <c r="O56" s="92"/>
      <c r="P56" s="92"/>
    </row>
    <row r="57" spans="1:16" s="20" customFormat="1" x14ac:dyDescent="0.3">
      <c r="A57" s="31" t="s">
        <v>151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151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151</v>
      </c>
      <c r="B59" s="32" t="s">
        <v>74</v>
      </c>
      <c r="C59" s="32" t="s">
        <v>68</v>
      </c>
      <c r="D59" s="21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151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151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0x84</v>
      </c>
      <c r="J61" s="20" t="str">
        <f>DEC2HEX(MOD(K61,256))</f>
        <v>84</v>
      </c>
      <c r="K61" s="37">
        <f>L51+M51</f>
        <v>132</v>
      </c>
      <c r="L61" s="37"/>
    </row>
    <row r="62" spans="1:16" s="20" customFormat="1" x14ac:dyDescent="0.3">
      <c r="A62" s="31" t="s">
        <v>151</v>
      </c>
      <c r="B62" s="32" t="s">
        <v>77</v>
      </c>
      <c r="C62" s="32"/>
      <c r="D62" s="21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151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0x53</v>
      </c>
      <c r="J63" s="20" t="str">
        <f>DEC2HEX(MOD(K63,256))</f>
        <v>53</v>
      </c>
      <c r="K63" s="37">
        <f>L51+M51+N51-1</f>
        <v>851</v>
      </c>
      <c r="L63" s="37"/>
    </row>
    <row r="64" spans="1:16" s="20" customFormat="1" x14ac:dyDescent="0.3">
      <c r="A64" s="31" t="s">
        <v>151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0x03</v>
      </c>
      <c r="J64" s="20" t="str">
        <f>DEC2HEX((K63-MOD(K63,256))/256)</f>
        <v>3</v>
      </c>
      <c r="K64" s="37"/>
      <c r="L64" s="37"/>
    </row>
    <row r="65" spans="1:12" s="20" customFormat="1" x14ac:dyDescent="0.3">
      <c r="A65" s="31" t="s">
        <v>151</v>
      </c>
      <c r="B65" s="32" t="s">
        <v>79</v>
      </c>
      <c r="C65" s="32" t="s">
        <v>68</v>
      </c>
      <c r="D65" s="21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0x2C</v>
      </c>
      <c r="J65" s="20" t="str">
        <f>DEC2HEX(MOD(K65,256))</f>
        <v>2C</v>
      </c>
      <c r="K65" s="37">
        <f>L54+M54</f>
        <v>44</v>
      </c>
      <c r="L65" s="37"/>
    </row>
    <row r="66" spans="1:12" s="20" customFormat="1" x14ac:dyDescent="0.3">
      <c r="A66" s="31" t="s">
        <v>151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151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0x6B</v>
      </c>
      <c r="J67" s="20" t="str">
        <f>DEC2HEX(MOD(K67,256))</f>
        <v>6B</v>
      </c>
      <c r="K67" s="37">
        <f>L54+M54+N54-1</f>
        <v>619</v>
      </c>
      <c r="L67" s="37"/>
    </row>
    <row r="68" spans="1:12" s="20" customFormat="1" x14ac:dyDescent="0.3">
      <c r="A68" s="31" t="s">
        <v>151</v>
      </c>
      <c r="B68" s="32" t="s">
        <v>80</v>
      </c>
      <c r="C68" s="32"/>
      <c r="D68" s="21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0x02</v>
      </c>
      <c r="J68" s="20" t="str">
        <f>DEC2HEX((K67-MOD(K67,256))/256)</f>
        <v>2</v>
      </c>
      <c r="K68" s="37"/>
      <c r="L68" s="37"/>
    </row>
    <row r="69" spans="1:12" s="20" customFormat="1" x14ac:dyDescent="0.3">
      <c r="A69" s="31" t="s">
        <v>151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312</v>
      </c>
      <c r="G69" s="22" t="s">
        <v>37</v>
      </c>
      <c r="H69" s="21" t="s">
        <v>34</v>
      </c>
      <c r="I69" s="21" t="str">
        <f t="shared" si="0"/>
        <v>0x84</v>
      </c>
      <c r="J69" s="20" t="str">
        <f>J61</f>
        <v>84</v>
      </c>
      <c r="K69" s="37"/>
      <c r="L69" s="37"/>
    </row>
    <row r="70" spans="1:12" s="20" customFormat="1" x14ac:dyDescent="0.3">
      <c r="A70" s="31" t="s">
        <v>151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151</v>
      </c>
      <c r="B71" s="55" t="s">
        <v>106</v>
      </c>
      <c r="C71" s="32" t="s">
        <v>104</v>
      </c>
      <c r="D71" s="21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0x53</v>
      </c>
      <c r="J71" s="20" t="str">
        <f t="shared" si="1"/>
        <v>53</v>
      </c>
      <c r="K71" s="37"/>
      <c r="L71" s="37"/>
    </row>
    <row r="72" spans="1:12" s="20" customFormat="1" x14ac:dyDescent="0.3">
      <c r="A72" s="31" t="s">
        <v>151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0x03</v>
      </c>
      <c r="J72" s="20" t="str">
        <f t="shared" si="1"/>
        <v>3</v>
      </c>
      <c r="K72" s="37"/>
      <c r="L72" s="37"/>
    </row>
    <row r="73" spans="1:12" s="20" customFormat="1" x14ac:dyDescent="0.3">
      <c r="A73" s="31" t="s">
        <v>151</v>
      </c>
      <c r="B73" s="55" t="s">
        <v>107</v>
      </c>
      <c r="C73" s="32"/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0x2C</v>
      </c>
      <c r="J73" s="20" t="str">
        <f t="shared" si="1"/>
        <v>2C</v>
      </c>
      <c r="K73" s="37"/>
      <c r="L73" s="37"/>
    </row>
    <row r="74" spans="1:12" s="20" customFormat="1" x14ac:dyDescent="0.3">
      <c r="A74" s="31" t="s">
        <v>151</v>
      </c>
      <c r="B74" s="55" t="s">
        <v>108</v>
      </c>
      <c r="C74" s="32"/>
      <c r="D74" s="21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151</v>
      </c>
      <c r="B75" s="55" t="s">
        <v>109</v>
      </c>
      <c r="C75" s="32"/>
      <c r="D75" s="21" t="s">
        <v>140</v>
      </c>
      <c r="E75" s="21" t="s">
        <v>36</v>
      </c>
      <c r="F75" s="21" t="s">
        <v>159</v>
      </c>
      <c r="G75" s="22" t="s">
        <v>37</v>
      </c>
      <c r="H75" s="21" t="s">
        <v>34</v>
      </c>
      <c r="I75" s="21" t="str">
        <f t="shared" si="0"/>
        <v>0x6B</v>
      </c>
      <c r="J75" s="20" t="str">
        <f t="shared" si="1"/>
        <v>6B</v>
      </c>
      <c r="K75" s="37"/>
      <c r="L75" s="37"/>
    </row>
    <row r="76" spans="1:12" s="20" customFormat="1" x14ac:dyDescent="0.3">
      <c r="A76" s="31" t="s">
        <v>151</v>
      </c>
      <c r="B76" s="55" t="s">
        <v>110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0x02</v>
      </c>
      <c r="J76" s="20" t="str">
        <f t="shared" si="1"/>
        <v>2</v>
      </c>
      <c r="K76" s="37"/>
      <c r="L76" s="37"/>
    </row>
    <row r="77" spans="1:12" s="20" customFormat="1" x14ac:dyDescent="0.3">
      <c r="A77" s="31" t="s">
        <v>151</v>
      </c>
      <c r="B77" s="32" t="s">
        <v>111</v>
      </c>
      <c r="C77" s="32" t="s">
        <v>68</v>
      </c>
      <c r="D77" s="21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151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151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0x3F</v>
      </c>
      <c r="J79" s="20" t="str">
        <f t="shared" si="2"/>
        <v>3F</v>
      </c>
      <c r="K79" s="37"/>
      <c r="L79" s="37"/>
    </row>
    <row r="80" spans="1:12" s="20" customFormat="1" x14ac:dyDescent="0.3">
      <c r="A80" s="31" t="s">
        <v>151</v>
      </c>
      <c r="B80" s="32" t="s">
        <v>114</v>
      </c>
      <c r="C80" s="32"/>
      <c r="D80" s="21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151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0x84</v>
      </c>
      <c r="J81" s="20" t="str">
        <f>J61</f>
        <v>84</v>
      </c>
      <c r="K81" s="37"/>
      <c r="L81" s="37"/>
    </row>
    <row r="82" spans="1:12" s="20" customFormat="1" x14ac:dyDescent="0.3">
      <c r="A82" s="31" t="s">
        <v>151</v>
      </c>
      <c r="B82" s="32" t="s">
        <v>118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151</v>
      </c>
      <c r="B83" s="32" t="s">
        <v>120</v>
      </c>
      <c r="C83" s="32" t="s">
        <v>68</v>
      </c>
      <c r="D83" s="21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0x53</v>
      </c>
      <c r="J83" s="20" t="str">
        <f t="shared" si="3"/>
        <v>53</v>
      </c>
      <c r="K83" s="37"/>
      <c r="L83" s="37"/>
    </row>
    <row r="84" spans="1:12" s="20" customFormat="1" x14ac:dyDescent="0.3">
      <c r="A84" s="31" t="s">
        <v>151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0x03</v>
      </c>
      <c r="J84" s="20" t="str">
        <f t="shared" si="3"/>
        <v>3</v>
      </c>
      <c r="K84" s="37"/>
      <c r="L84" s="37"/>
    </row>
    <row r="85" spans="1:12" s="20" customFormat="1" x14ac:dyDescent="0.3">
      <c r="A85" s="31" t="s">
        <v>151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0x2C</v>
      </c>
      <c r="J85" s="20" t="str">
        <f t="shared" si="3"/>
        <v>2C</v>
      </c>
      <c r="K85" s="37"/>
      <c r="L85" s="37"/>
    </row>
    <row r="86" spans="1:12" s="20" customFormat="1" x14ac:dyDescent="0.3">
      <c r="A86" s="31" t="s">
        <v>151</v>
      </c>
      <c r="B86" s="32" t="s">
        <v>122</v>
      </c>
      <c r="C86" s="32"/>
      <c r="D86" s="21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151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0x6B</v>
      </c>
      <c r="J87" s="20" t="str">
        <f t="shared" si="3"/>
        <v>6B</v>
      </c>
      <c r="K87" s="37"/>
      <c r="L87" s="37"/>
    </row>
    <row r="88" spans="1:12" s="20" customFormat="1" x14ac:dyDescent="0.3">
      <c r="A88" s="31" t="s">
        <v>151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0x02</v>
      </c>
      <c r="J88" s="20" t="str">
        <f t="shared" si="3"/>
        <v>2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21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  <row r="93" spans="1:12" ht="30.6" x14ac:dyDescent="0.3">
      <c r="A93" s="50"/>
      <c r="B93" s="51"/>
      <c r="C93" s="52"/>
      <c r="D93" s="90" t="s">
        <v>18</v>
      </c>
      <c r="E93" s="90"/>
      <c r="F93" s="90"/>
      <c r="G93" s="90"/>
      <c r="H93" s="53"/>
      <c r="I93" s="54"/>
      <c r="K93" s="20"/>
      <c r="L93" s="20"/>
    </row>
    <row r="94" spans="1:12" x14ac:dyDescent="0.3">
      <c r="A94" s="20"/>
      <c r="B94" s="44"/>
      <c r="C94" s="20"/>
      <c r="D94" s="20"/>
      <c r="E94" s="20"/>
      <c r="F94" s="30"/>
      <c r="G94" s="30"/>
      <c r="H94" s="30"/>
      <c r="I94" s="39"/>
    </row>
  </sheetData>
  <protectedRanges>
    <protectedRange password="EBC5" sqref="I4:I6 I36 I28:I29" name="範圍1_3_3_1_1_1_2_1_1_2"/>
    <protectedRange password="EBC5" sqref="I46 I91:I92 I11:I16" name="範圍1_3_3_1_1_1_2_1_1_2_2"/>
    <protectedRange password="EBC5" sqref="I89:I90" name="範圍1_3_3_1_1_1_2_1_1_2_1_2"/>
    <protectedRange password="EBC5" sqref="I49:I88" name="範圍1_3_3_1_1_1_2_1_1_2_1_2_1"/>
    <protectedRange password="EBC5" sqref="I3 I7:I8" name="範圍1_3_3_1_1_1_2_1_1_2_1"/>
    <protectedRange password="EBC5" sqref="I35 I45" name="範圍1_3_3_1_1_1_2_1_1_2_3"/>
    <protectedRange password="EBC5" sqref="I17:I24" name="範圍1_3_3_1_1_1_2_1_1_2_2_1"/>
    <protectedRange password="EBC5" sqref="I25:I27" name="範圍1_3_3_1_1_1_2_1_1_2_2_2"/>
    <protectedRange password="EBC5" sqref="I39:I44" name="範圍1_3_3_1_1_1_2_1_1_2_5"/>
    <protectedRange password="EBC5" sqref="I32:I34" name="範圍1_3_3_1_1_1_2_1_1_2_4_1"/>
  </protectedRanges>
  <mergeCells count="10">
    <mergeCell ref="D93:G93"/>
    <mergeCell ref="A1:C1"/>
    <mergeCell ref="A9:C9"/>
    <mergeCell ref="A47:C47"/>
    <mergeCell ref="L49:P49"/>
    <mergeCell ref="L52:P52"/>
    <mergeCell ref="L55:P55"/>
    <mergeCell ref="L56:P56"/>
    <mergeCell ref="A30:C30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94"/>
  <sheetViews>
    <sheetView topLeftCell="A31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329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329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329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499</v>
      </c>
      <c r="C32" s="62" t="s">
        <v>52</v>
      </c>
      <c r="D32" s="63" t="s">
        <v>462</v>
      </c>
      <c r="E32" s="63" t="s">
        <v>36</v>
      </c>
      <c r="F32" s="63" t="s">
        <v>476</v>
      </c>
      <c r="G32" s="84" t="s">
        <v>37</v>
      </c>
      <c r="H32" s="63" t="s">
        <v>34</v>
      </c>
      <c r="I32" s="85" t="s">
        <v>477</v>
      </c>
      <c r="K32" s="37"/>
      <c r="L32" s="37"/>
    </row>
    <row r="33" spans="1:12" s="20" customFormat="1" x14ac:dyDescent="0.3">
      <c r="A33" s="82" t="s">
        <v>432</v>
      </c>
      <c r="B33" s="32" t="s">
        <v>429</v>
      </c>
      <c r="C33" s="32" t="s">
        <v>52</v>
      </c>
      <c r="D33" s="21" t="s">
        <v>139</v>
      </c>
      <c r="E33" s="21" t="s">
        <v>36</v>
      </c>
      <c r="F33" s="21" t="s">
        <v>476</v>
      </c>
      <c r="G33" s="24" t="s">
        <v>478</v>
      </c>
      <c r="H33" s="21" t="s">
        <v>34</v>
      </c>
      <c r="I33" s="86" t="s">
        <v>479</v>
      </c>
      <c r="K33" s="37"/>
      <c r="L33" s="37"/>
    </row>
    <row r="34" spans="1:12" s="20" customFormat="1" x14ac:dyDescent="0.3">
      <c r="A34" s="82" t="s">
        <v>432</v>
      </c>
      <c r="B34" s="32" t="s">
        <v>480</v>
      </c>
      <c r="C34" s="32" t="s">
        <v>481</v>
      </c>
      <c r="D34" s="21" t="s">
        <v>462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483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526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442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252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0xBB</v>
      </c>
      <c r="J49" s="20" t="str">
        <f>DEC2HEX(MOD(K49,256))</f>
        <v>BB</v>
      </c>
      <c r="K49" s="37">
        <f>P51-1</f>
        <v>1979</v>
      </c>
      <c r="L49" s="91" t="s">
        <v>192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0x07</v>
      </c>
      <c r="J50" s="20" t="str">
        <f>DEC2HEX((K49-MOD(K49,256))/256)</f>
        <v>7</v>
      </c>
      <c r="K50" s="37"/>
      <c r="L50" s="72" t="s">
        <v>188</v>
      </c>
      <c r="M50" s="72" t="s">
        <v>180</v>
      </c>
      <c r="N50" s="72" t="s">
        <v>189</v>
      </c>
      <c r="O50" s="72" t="s">
        <v>191</v>
      </c>
      <c r="P50" s="72" t="s">
        <v>190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252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0xED</v>
      </c>
      <c r="J51" s="20" t="str">
        <f>DEC2HEX(MOD(K51,256))</f>
        <v>ED</v>
      </c>
      <c r="K51" s="37">
        <f>P54-1</f>
        <v>749</v>
      </c>
      <c r="L51" s="73">
        <v>40</v>
      </c>
      <c r="M51" s="73">
        <v>220</v>
      </c>
      <c r="N51" s="73">
        <v>1280</v>
      </c>
      <c r="O51" s="73">
        <f>P51-N51-M51-L51</f>
        <v>440</v>
      </c>
      <c r="P51" s="73">
        <v>1980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0x02</v>
      </c>
      <c r="J52" s="20" t="str">
        <f>DEC2HEX((K51-MOD(K51,256))/256)</f>
        <v>2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179</v>
      </c>
      <c r="M53" s="72" t="s">
        <v>180</v>
      </c>
      <c r="N53" s="72" t="s">
        <v>170</v>
      </c>
      <c r="O53" s="72" t="s">
        <v>172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20</v>
      </c>
      <c r="N54" s="73">
        <v>720</v>
      </c>
      <c r="O54" s="73">
        <f>P54-N54-M54-L54</f>
        <v>5</v>
      </c>
      <c r="P54" s="73">
        <v>750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0x27</v>
      </c>
      <c r="J55" s="20" t="str">
        <f>DEC2HEX(MOD(K55,256))</f>
        <v>27</v>
      </c>
      <c r="K55" s="37">
        <f>L51-1</f>
        <v>39</v>
      </c>
      <c r="L55" s="91" t="s">
        <v>184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50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0x04</v>
      </c>
      <c r="J61" s="20" t="str">
        <f>DEC2HEX(MOD(K61,256))</f>
        <v>4</v>
      </c>
      <c r="K61" s="37">
        <f>L51+M51</f>
        <v>260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0x03</v>
      </c>
      <c r="J63" s="20" t="str">
        <f>DEC2HEX(MOD(K63,256))</f>
        <v>3</v>
      </c>
      <c r="K63" s="37">
        <f>L51+M51+N51-1</f>
        <v>1539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0x19</v>
      </c>
      <c r="J65" s="20" t="str">
        <f>DEC2HEX(MOD(K65,256))</f>
        <v>19</v>
      </c>
      <c r="K65" s="37">
        <f>L54+M54</f>
        <v>25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0xE8</v>
      </c>
      <c r="J67" s="20" t="str">
        <f>DEC2HEX(MOD(K67,256))</f>
        <v>E8</v>
      </c>
      <c r="K67" s="37">
        <f>L54+M54+N54-1</f>
        <v>744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0x02</v>
      </c>
      <c r="J68" s="20" t="str">
        <f>DEC2HEX((K67-MOD(K67,256))/256)</f>
        <v>2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310</v>
      </c>
      <c r="G69" s="22" t="s">
        <v>37</v>
      </c>
      <c r="H69" s="21" t="s">
        <v>34</v>
      </c>
      <c r="I69" s="21" t="str">
        <f t="shared" si="0"/>
        <v>0x04</v>
      </c>
      <c r="J69" s="20" t="str">
        <f>J61</f>
        <v>4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104</v>
      </c>
      <c r="D71" s="63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0x03</v>
      </c>
      <c r="J71" s="20" t="str">
        <f t="shared" si="1"/>
        <v>3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104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0x19</v>
      </c>
      <c r="J73" s="20" t="str">
        <f t="shared" si="1"/>
        <v>19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104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0xE8</v>
      </c>
      <c r="J75" s="20" t="str">
        <f t="shared" si="1"/>
        <v>E8</v>
      </c>
      <c r="K75" s="37"/>
      <c r="L75" s="37"/>
    </row>
    <row r="76" spans="1:12" s="20" customFormat="1" x14ac:dyDescent="0.3">
      <c r="A76" s="31" t="s">
        <v>93</v>
      </c>
      <c r="B76" s="55" t="s">
        <v>110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0x02</v>
      </c>
      <c r="J76" s="20" t="str">
        <f t="shared" si="1"/>
        <v>2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0x27</v>
      </c>
      <c r="J79" s="20" t="str">
        <f t="shared" si="2"/>
        <v>27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0x04</v>
      </c>
      <c r="J81" s="20" t="str">
        <f>J61</f>
        <v>4</v>
      </c>
      <c r="K81" s="37"/>
      <c r="L81" s="37"/>
    </row>
    <row r="82" spans="1:12" s="20" customFormat="1" x14ac:dyDescent="0.3">
      <c r="A82" s="31" t="s">
        <v>93</v>
      </c>
      <c r="B82" s="32" t="s">
        <v>118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0x03</v>
      </c>
      <c r="J83" s="20" t="str">
        <f t="shared" si="3"/>
        <v>3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0x19</v>
      </c>
      <c r="J85" s="20" t="str">
        <f t="shared" si="3"/>
        <v>19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296</v>
      </c>
      <c r="G87" s="22" t="s">
        <v>37</v>
      </c>
      <c r="H87" s="21" t="s">
        <v>34</v>
      </c>
      <c r="I87" s="21" t="str">
        <f t="shared" si="0"/>
        <v>0xE8</v>
      </c>
      <c r="J87" s="20" t="str">
        <f t="shared" si="3"/>
        <v>E8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296</v>
      </c>
      <c r="G88" s="24" t="s">
        <v>39</v>
      </c>
      <c r="H88" s="21" t="s">
        <v>34</v>
      </c>
      <c r="I88" s="21" t="str">
        <f t="shared" si="0"/>
        <v>0x02</v>
      </c>
      <c r="J88" s="20" t="str">
        <f t="shared" si="3"/>
        <v>2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  <row r="93" spans="1:12" ht="30.6" x14ac:dyDescent="0.3">
      <c r="A93" s="50"/>
      <c r="B93" s="51"/>
      <c r="C93" s="52"/>
      <c r="D93" s="90" t="s">
        <v>18</v>
      </c>
      <c r="E93" s="90"/>
      <c r="F93" s="90"/>
      <c r="G93" s="90"/>
      <c r="H93" s="53"/>
      <c r="I93" s="54"/>
      <c r="K93" s="20"/>
      <c r="L93" s="20"/>
    </row>
    <row r="94" spans="1:12" x14ac:dyDescent="0.3">
      <c r="A94" s="20"/>
      <c r="B94" s="44"/>
      <c r="C94" s="20"/>
      <c r="D94" s="20"/>
      <c r="E94" s="20"/>
      <c r="F94" s="30"/>
      <c r="G94" s="30"/>
      <c r="H94" s="30"/>
      <c r="I94" s="39"/>
    </row>
  </sheetData>
  <protectedRanges>
    <protectedRange password="EBC5" sqref="I46" name="範圍1_3_3_1_1_1_2_1_1_2_2_1"/>
    <protectedRange password="EBC5" sqref="I36 I28:I29" name="範圍1_3_3_1_1_1_2_1_1_2_1_4"/>
    <protectedRange password="EBC5" sqref="I49:I88" name="範圍1_3_3_1_1_1_2_1_1_2_1_2_1"/>
    <protectedRange password="EBC5" sqref="I4:I6" name="範圍1_3_3_1_1_1_2_1_1_2_5"/>
    <protectedRange password="EBC5" sqref="I91:I92" name="範圍1_3_3_1_1_1_2_1_1_2_2_3"/>
    <protectedRange password="EBC5" sqref="I89:I90" name="範圍1_3_3_1_1_1_2_1_1_2_1_2_3"/>
    <protectedRange password="EBC5" sqref="I3 I7:I8" name="範圍1_3_3_1_1_1_2_1_1_2"/>
    <protectedRange password="EBC5" sqref="I35 I45" name="範圍1_3_3_1_1_1_2_1_1_2_1"/>
    <protectedRange password="EBC5" sqref="I11:I16" name="範圍1_3_3_1_1_1_2_1_1_2_2"/>
    <protectedRange password="EBC5" sqref="I17:I24" name="範圍1_3_3_1_1_1_2_1_1_2_2_1_1"/>
    <protectedRange password="EBC5" sqref="I25:I27" name="範圍1_3_3_1_1_1_2_1_1_2_2_2_1"/>
    <protectedRange password="EBC5" sqref="I39:I44" name="範圍1_3_3_1_1_1_2_1_1_2_1_1"/>
    <protectedRange password="EBC5" sqref="I32:I34" name="範圍1_3_3_1_1_1_2_1_1_2_4_1"/>
  </protectedRanges>
  <mergeCells count="10">
    <mergeCell ref="D93:G93"/>
    <mergeCell ref="A1:C1"/>
    <mergeCell ref="A9:C9"/>
    <mergeCell ref="A47:C47"/>
    <mergeCell ref="L49:P49"/>
    <mergeCell ref="L52:P52"/>
    <mergeCell ref="L55:P55"/>
    <mergeCell ref="L56:P56"/>
    <mergeCell ref="A30:C30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92"/>
  <sheetViews>
    <sheetView topLeftCell="A25" zoomScale="115" zoomScaleNormal="115" workbookViewId="0">
      <selection activeCell="C58" sqref="C58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506</v>
      </c>
      <c r="B32" s="62" t="s">
        <v>53</v>
      </c>
      <c r="C32" s="62" t="s">
        <v>52</v>
      </c>
      <c r="D32" s="63" t="s">
        <v>139</v>
      </c>
      <c r="E32" s="63" t="s">
        <v>36</v>
      </c>
      <c r="F32" s="63" t="s">
        <v>507</v>
      </c>
      <c r="G32" s="84" t="s">
        <v>37</v>
      </c>
      <c r="H32" s="63" t="s">
        <v>34</v>
      </c>
      <c r="I32" s="85" t="s">
        <v>468</v>
      </c>
      <c r="K32" s="37"/>
      <c r="L32" s="37"/>
    </row>
    <row r="33" spans="1:12" s="20" customFormat="1" x14ac:dyDescent="0.3">
      <c r="A33" s="82" t="s">
        <v>417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487</v>
      </c>
      <c r="G33" s="24" t="s">
        <v>39</v>
      </c>
      <c r="H33" s="21" t="s">
        <v>34</v>
      </c>
      <c r="I33" s="86" t="s">
        <v>508</v>
      </c>
      <c r="K33" s="37"/>
      <c r="L33" s="37"/>
    </row>
    <row r="34" spans="1:12" s="20" customFormat="1" x14ac:dyDescent="0.3">
      <c r="A34" s="82" t="s">
        <v>51</v>
      </c>
      <c r="B34" s="32" t="s">
        <v>490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526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0x71</v>
      </c>
      <c r="J49" s="20" t="str">
        <f>DEC2HEX(MOD(K49,256))</f>
        <v>71</v>
      </c>
      <c r="K49" s="37">
        <f>P51-1</f>
        <v>1649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0x06</v>
      </c>
      <c r="J50" s="20" t="str">
        <f>DEC2HEX((K49-MOD(K49,256))/256)</f>
        <v>6</v>
      </c>
      <c r="K50" s="37"/>
      <c r="L50" s="72" t="s">
        <v>168</v>
      </c>
      <c r="M50" s="72" t="s">
        <v>169</v>
      </c>
      <c r="N50" s="72" t="s">
        <v>170</v>
      </c>
      <c r="O50" s="72" t="s">
        <v>183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0xED</v>
      </c>
      <c r="J51" s="20" t="str">
        <f>DEC2HEX(MOD(K51,256))</f>
        <v>ED</v>
      </c>
      <c r="K51" s="37">
        <f>P54-1</f>
        <v>749</v>
      </c>
      <c r="L51" s="73">
        <v>40</v>
      </c>
      <c r="M51" s="73">
        <v>220</v>
      </c>
      <c r="N51" s="73">
        <v>1280</v>
      </c>
      <c r="O51" s="73">
        <f>P51-N51-M51-L51</f>
        <v>110</v>
      </c>
      <c r="P51" s="73">
        <v>1650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0x02</v>
      </c>
      <c r="J52" s="20" t="str">
        <f>DEC2HEX((K51-MOD(K51,256))/256)</f>
        <v>2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168</v>
      </c>
      <c r="M53" s="72" t="s">
        <v>169</v>
      </c>
      <c r="N53" s="72" t="s">
        <v>170</v>
      </c>
      <c r="O53" s="72" t="s">
        <v>172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20</v>
      </c>
      <c r="N54" s="73">
        <v>720</v>
      </c>
      <c r="O54" s="73">
        <f>P54-N54-M54-L54</f>
        <v>5</v>
      </c>
      <c r="P54" s="73">
        <v>750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0x27</v>
      </c>
      <c r="J55" s="20" t="str">
        <f>DEC2HEX(MOD(K55,256))</f>
        <v>27</v>
      </c>
      <c r="K55" s="37">
        <f>L51-1</f>
        <v>39</v>
      </c>
      <c r="L55" s="91" t="s">
        <v>177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64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0x04</v>
      </c>
      <c r="J61" s="20" t="str">
        <f>DEC2HEX(MOD(K61,256))</f>
        <v>4</v>
      </c>
      <c r="K61" s="37">
        <f>L51+M51</f>
        <v>260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0x03</v>
      </c>
      <c r="J63" s="20" t="str">
        <f>DEC2HEX(MOD(K63,256))</f>
        <v>3</v>
      </c>
      <c r="K63" s="37">
        <f>L51+M51+N51-1</f>
        <v>1539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0x19</v>
      </c>
      <c r="J65" s="20" t="str">
        <f>DEC2HEX(MOD(K65,256))</f>
        <v>19</v>
      </c>
      <c r="K65" s="37">
        <f>L54+M54</f>
        <v>25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0xE8</v>
      </c>
      <c r="J67" s="20" t="str">
        <f>DEC2HEX(MOD(K67,256))</f>
        <v>E8</v>
      </c>
      <c r="K67" s="37">
        <f>L54+M54+N54-1</f>
        <v>744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321</v>
      </c>
      <c r="G68" s="24" t="s">
        <v>39</v>
      </c>
      <c r="H68" s="21" t="s">
        <v>34</v>
      </c>
      <c r="I68" s="21" t="str">
        <f t="shared" si="0"/>
        <v>0x02</v>
      </c>
      <c r="J68" s="20" t="str">
        <f>DEC2HEX((K67-MOD(K67,256))/256)</f>
        <v>2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0x04</v>
      </c>
      <c r="J69" s="20" t="str">
        <f>J61</f>
        <v>4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104</v>
      </c>
      <c r="D71" s="63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0x03</v>
      </c>
      <c r="J71" s="20" t="str">
        <f t="shared" si="1"/>
        <v>3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308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104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0x19</v>
      </c>
      <c r="J73" s="20" t="str">
        <f t="shared" si="1"/>
        <v>19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104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0xE8</v>
      </c>
      <c r="J75" s="20" t="str">
        <f t="shared" si="1"/>
        <v>E8</v>
      </c>
      <c r="K75" s="37"/>
      <c r="L75" s="37"/>
    </row>
    <row r="76" spans="1:12" s="20" customFormat="1" x14ac:dyDescent="0.3">
      <c r="A76" s="31" t="s">
        <v>93</v>
      </c>
      <c r="B76" s="55" t="s">
        <v>110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0x02</v>
      </c>
      <c r="J76" s="20" t="str">
        <f t="shared" si="1"/>
        <v>2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0x27</v>
      </c>
      <c r="J79" s="20" t="str">
        <f t="shared" si="2"/>
        <v>27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0x04</v>
      </c>
      <c r="J81" s="20" t="str">
        <f>J61</f>
        <v>4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0x03</v>
      </c>
      <c r="J83" s="20" t="str">
        <f t="shared" si="3"/>
        <v>3</v>
      </c>
      <c r="K83" s="37"/>
      <c r="L83" s="37"/>
    </row>
    <row r="84" spans="1:12" s="20" customFormat="1" x14ac:dyDescent="0.3">
      <c r="A84" s="31" t="s">
        <v>93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0x19</v>
      </c>
      <c r="J85" s="20" t="str">
        <f t="shared" si="3"/>
        <v>19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0xE8</v>
      </c>
      <c r="J87" s="20" t="str">
        <f t="shared" si="3"/>
        <v>E8</v>
      </c>
      <c r="K87" s="37"/>
      <c r="L87" s="37"/>
    </row>
    <row r="88" spans="1:12" s="20" customFormat="1" x14ac:dyDescent="0.3">
      <c r="A88" s="31" t="s">
        <v>93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0x02</v>
      </c>
      <c r="J88" s="20" t="str">
        <f t="shared" si="3"/>
        <v>2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4"/>
    <protectedRange password="EBC5" sqref="I49:I88" name="範圍1_3_3_1_1_1_2_1_1_2_1_2_1"/>
    <protectedRange password="EBC5" sqref="I4:I6" name="範圍1_3_3_1_1_1_2_1_1_2_5"/>
    <protectedRange password="EBC5" sqref="I91:I92" name="範圍1_3_3_1_1_1_2_1_1_2_2_3"/>
    <protectedRange password="EBC5" sqref="I89:I90" name="範圍1_3_3_1_1_1_2_1_1_2_1_2"/>
    <protectedRange password="EBC5" sqref="I3 I7:I8" name="範圍1_3_3_1_1_1_2_1_1_2"/>
    <protectedRange password="EBC5" sqref="I35 I45" name="範圍1_3_3_1_1_1_2_1_1_2_1"/>
    <protectedRange password="EBC5" sqref="I39:I44" name="範圍1_3_3_1_1_1_2_1_1_2_1_1"/>
    <protectedRange password="EBC5" sqref="I11:I16" name="範圍1_3_3_1_1_1_2_1_1_2_2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FF00"/>
  </sheetPr>
  <dimension ref="A1:U92"/>
  <sheetViews>
    <sheetView tabSelected="1" topLeftCell="A31" zoomScale="115" zoomScaleNormal="115" workbookViewId="0">
      <selection activeCell="I44" sqref="I44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8.88671875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8.88671875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534</v>
      </c>
      <c r="K32" s="37"/>
      <c r="L32" s="37"/>
    </row>
    <row r="33" spans="1:12" s="20" customFormat="1" x14ac:dyDescent="0.3">
      <c r="A33" s="82" t="s">
        <v>417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535</v>
      </c>
      <c r="K33" s="37"/>
      <c r="L33" s="37"/>
    </row>
    <row r="34" spans="1:12" s="20" customFormat="1" x14ac:dyDescent="0.3">
      <c r="A34" s="82" t="s">
        <v>51</v>
      </c>
      <c r="B34" s="32" t="s">
        <v>55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541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540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526</v>
      </c>
      <c r="G42" s="22" t="s">
        <v>37</v>
      </c>
      <c r="H42" s="21" t="s">
        <v>34</v>
      </c>
      <c r="I42" s="83" t="s">
        <v>541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83" t="s">
        <v>540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0x71</v>
      </c>
      <c r="J49" s="20" t="str">
        <f>DEC2HEX(MOD(K49,256))</f>
        <v>71</v>
      </c>
      <c r="K49" s="37">
        <f>P51-1</f>
        <v>1649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0x06</v>
      </c>
      <c r="J50" s="20" t="str">
        <f>DEC2HEX((K49-MOD(K49,256))/256)</f>
        <v>6</v>
      </c>
      <c r="K50" s="37"/>
      <c r="L50" s="72" t="s">
        <v>168</v>
      </c>
      <c r="M50" s="72" t="s">
        <v>169</v>
      </c>
      <c r="N50" s="72" t="s">
        <v>170</v>
      </c>
      <c r="O50" s="72" t="s">
        <v>183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0xED</v>
      </c>
      <c r="J51" s="20" t="str">
        <f>DEC2HEX(MOD(K51,256))</f>
        <v>ED</v>
      </c>
      <c r="K51" s="37">
        <f>P54-1</f>
        <v>749</v>
      </c>
      <c r="L51" s="73">
        <v>40</v>
      </c>
      <c r="M51" s="73">
        <v>220</v>
      </c>
      <c r="N51" s="73">
        <v>1280</v>
      </c>
      <c r="O51" s="73">
        <f>P51-N51-M51-L51</f>
        <v>110</v>
      </c>
      <c r="P51" s="73">
        <v>1650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0x02</v>
      </c>
      <c r="J52" s="20" t="str">
        <f>DEC2HEX((K51-MOD(K51,256))/256)</f>
        <v>2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59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168</v>
      </c>
      <c r="M53" s="72" t="s">
        <v>169</v>
      </c>
      <c r="N53" s="72" t="s">
        <v>170</v>
      </c>
      <c r="O53" s="72" t="s">
        <v>172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20</v>
      </c>
      <c r="N54" s="73">
        <v>720</v>
      </c>
      <c r="O54" s="73">
        <f>P54-N54-M54-L54</f>
        <v>5</v>
      </c>
      <c r="P54" s="73">
        <v>750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46</v>
      </c>
      <c r="G55" s="22" t="s">
        <v>37</v>
      </c>
      <c r="H55" s="21" t="s">
        <v>34</v>
      </c>
      <c r="I55" s="21" t="str">
        <f t="shared" si="0"/>
        <v>0x27</v>
      </c>
      <c r="J55" s="20" t="str">
        <f>DEC2HEX(MOD(K55,256))</f>
        <v>27</v>
      </c>
      <c r="K55" s="37">
        <f>L51-1</f>
        <v>39</v>
      </c>
      <c r="L55" s="91" t="s">
        <v>177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0x04</v>
      </c>
      <c r="J61" s="20" t="str">
        <f>DEC2HEX(MOD(K61,256))</f>
        <v>4</v>
      </c>
      <c r="K61" s="37">
        <f>L51+M51</f>
        <v>260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100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0x03</v>
      </c>
      <c r="J63" s="20" t="str">
        <f>DEC2HEX(MOD(K63,256))</f>
        <v>3</v>
      </c>
      <c r="K63" s="37">
        <f>L51+M51+N51-1</f>
        <v>1539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0x19</v>
      </c>
      <c r="J65" s="20" t="str">
        <f>DEC2HEX(MOD(K65,256))</f>
        <v>19</v>
      </c>
      <c r="K65" s="37">
        <f>L54+M54</f>
        <v>25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67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0xE8</v>
      </c>
      <c r="J67" s="20" t="str">
        <f>DEC2HEX(MOD(K67,256))</f>
        <v>E8</v>
      </c>
      <c r="K67" s="37">
        <f>L54+M54+N54-1</f>
        <v>744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321</v>
      </c>
      <c r="G68" s="24" t="s">
        <v>39</v>
      </c>
      <c r="H68" s="21" t="s">
        <v>34</v>
      </c>
      <c r="I68" s="21" t="str">
        <f t="shared" si="0"/>
        <v>0x02</v>
      </c>
      <c r="J68" s="20" t="str">
        <f>DEC2HEX((K67-MOD(K67,256))/256)</f>
        <v>2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0x04</v>
      </c>
      <c r="J69" s="20" t="str">
        <f>J61</f>
        <v>4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305</v>
      </c>
      <c r="G71" s="22" t="s">
        <v>37</v>
      </c>
      <c r="H71" s="21" t="s">
        <v>34</v>
      </c>
      <c r="I71" s="21" t="str">
        <f t="shared" si="0"/>
        <v>0x03</v>
      </c>
      <c r="J71" s="20" t="str">
        <f t="shared" si="1"/>
        <v>3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305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0x19</v>
      </c>
      <c r="J73" s="20" t="str">
        <f t="shared" si="1"/>
        <v>19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0xE8</v>
      </c>
      <c r="J75" s="20" t="str">
        <f t="shared" si="1"/>
        <v>E8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0x02</v>
      </c>
      <c r="J76" s="20" t="str">
        <f t="shared" si="1"/>
        <v>2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0x27</v>
      </c>
      <c r="J79" s="20" t="str">
        <f t="shared" si="2"/>
        <v>27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0x04</v>
      </c>
      <c r="J81" s="20" t="str">
        <f>J61</f>
        <v>4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0x03</v>
      </c>
      <c r="J83" s="20" t="str">
        <f t="shared" si="3"/>
        <v>3</v>
      </c>
      <c r="K83" s="37"/>
      <c r="L83" s="37"/>
    </row>
    <row r="84" spans="1:12" s="20" customFormat="1" x14ac:dyDescent="0.3">
      <c r="A84" s="31" t="s">
        <v>93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0x19</v>
      </c>
      <c r="J85" s="20" t="str">
        <f t="shared" si="3"/>
        <v>19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0xE8</v>
      </c>
      <c r="J87" s="20" t="str">
        <f t="shared" si="3"/>
        <v>E8</v>
      </c>
      <c r="K87" s="37"/>
      <c r="L87" s="37"/>
    </row>
    <row r="88" spans="1:12" s="20" customFormat="1" x14ac:dyDescent="0.3">
      <c r="A88" s="31" t="s">
        <v>93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0x02</v>
      </c>
      <c r="J88" s="20" t="str">
        <f t="shared" si="3"/>
        <v>2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43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4"/>
    <protectedRange password="EBC5" sqref="I49:I88" name="範圍1_3_3_1_1_1_2_1_1_2_1_2_1"/>
    <protectedRange password="EBC5" sqref="I4:I6" name="範圍1_3_3_1_1_1_2_1_1_2_5"/>
    <protectedRange password="EBC5" sqref="I91:I92" name="範圍1_3_3_1_1_1_2_1_1_2_2_3"/>
    <protectedRange password="EBC5" sqref="I89:I90" name="範圍1_3_3_1_1_1_2_1_1_2_1_2"/>
    <protectedRange password="EBC5" sqref="I3 I7:I8" name="範圍1_3_3_1_1_1_2_1_1_2"/>
    <protectedRange password="EBC5" sqref="I35 I45" name="範圍1_3_3_1_1_1_2_1_1_2_1"/>
    <protectedRange password="EBC5" sqref="I39:I44" name="範圍1_3_3_1_1_1_2_1_1_2_1_1"/>
    <protectedRange password="EBC5" sqref="I11:I16" name="範圍1_3_3_1_1_1_2_1_1_2_2"/>
    <protectedRange password="EBC5" sqref="I17:I24" name="範圍1_3_3_1_1_1_2_1_1_2_2_1_1"/>
    <protectedRange password="EBC5" sqref="I25:I27" name="範圍1_3_3_1_1_1_2_1_1_2_2_2_1"/>
    <protectedRange password="EBC5" sqref="I32:I34" name="範圍1_3_3_1_1_1_2_1_1_2_4"/>
  </protectedRanges>
  <mergeCells count="9">
    <mergeCell ref="L52:P52"/>
    <mergeCell ref="L55:P55"/>
    <mergeCell ref="L56:P56"/>
    <mergeCell ref="A1:C1"/>
    <mergeCell ref="A9:C9"/>
    <mergeCell ref="A30:C30"/>
    <mergeCell ref="A37:C37"/>
    <mergeCell ref="A47:C47"/>
    <mergeCell ref="L49:P49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92"/>
  <sheetViews>
    <sheetView topLeftCell="A18" zoomScale="115" zoomScaleNormal="115" workbookViewId="0">
      <selection activeCell="D36" sqref="D36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164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432</v>
      </c>
      <c r="B32" s="62" t="s">
        <v>53</v>
      </c>
      <c r="C32" s="62" t="s">
        <v>502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468</v>
      </c>
      <c r="K32" s="37"/>
      <c r="L32" s="37"/>
    </row>
    <row r="33" spans="1:12" s="20" customFormat="1" x14ac:dyDescent="0.3">
      <c r="A33" s="82" t="s">
        <v>503</v>
      </c>
      <c r="B33" s="32" t="s">
        <v>504</v>
      </c>
      <c r="C33" s="32" t="s">
        <v>52</v>
      </c>
      <c r="D33" s="21" t="s">
        <v>462</v>
      </c>
      <c r="E33" s="21" t="s">
        <v>36</v>
      </c>
      <c r="F33" s="21" t="s">
        <v>505</v>
      </c>
      <c r="G33" s="24" t="s">
        <v>488</v>
      </c>
      <c r="H33" s="21" t="s">
        <v>34</v>
      </c>
      <c r="I33" s="86" t="s">
        <v>489</v>
      </c>
      <c r="K33" s="37"/>
      <c r="L33" s="37"/>
    </row>
    <row r="34" spans="1:12" s="20" customFormat="1" x14ac:dyDescent="0.3">
      <c r="A34" s="82" t="s">
        <v>51</v>
      </c>
      <c r="B34" s="32" t="s">
        <v>490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442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s="20" customFormat="1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  <c r="J47" s="37"/>
      <c r="K47" s="37"/>
      <c r="L47" s="37"/>
    </row>
    <row r="48" spans="1:12" s="20" customFormat="1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J48" s="37"/>
      <c r="K48" s="37"/>
      <c r="L48" s="37"/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0xBD</v>
      </c>
      <c r="J49" s="20" t="str">
        <f>DEC2HEX(MOD(K49,256))</f>
        <v>BD</v>
      </c>
      <c r="K49" s="37">
        <f>P51-1</f>
        <v>2749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0xA</v>
      </c>
      <c r="J50" s="20" t="str">
        <f>DEC2HEX((K49-MOD(K49,256))/256)</f>
        <v>A</v>
      </c>
      <c r="K50" s="37"/>
      <c r="L50" s="72" t="s">
        <v>259</v>
      </c>
      <c r="M50" s="72" t="s">
        <v>260</v>
      </c>
      <c r="N50" s="72" t="s">
        <v>262</v>
      </c>
      <c r="O50" s="72" t="s">
        <v>263</v>
      </c>
      <c r="P50" s="72" t="s">
        <v>264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638</v>
      </c>
      <c r="P51" s="73">
        <v>2750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265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266</v>
      </c>
      <c r="M53" s="72" t="s">
        <v>260</v>
      </c>
      <c r="N53" s="72" t="s">
        <v>261</v>
      </c>
      <c r="O53" s="72" t="s">
        <v>267</v>
      </c>
      <c r="P53" s="72" t="s">
        <v>264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268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24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39:I44" name="範圍1_3_3_1_1_1_2_1_1_2_1_1_1"/>
    <protectedRange password="EBC5" sqref="I11:I16" name="範圍1_3_3_1_1_1_2_1_1_2_2_4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</protectedRanges>
  <mergeCells count="9">
    <mergeCell ref="L56:P56"/>
    <mergeCell ref="A30:C30"/>
    <mergeCell ref="A1:C1"/>
    <mergeCell ref="A9:C9"/>
    <mergeCell ref="A47:C47"/>
    <mergeCell ref="L49:P49"/>
    <mergeCell ref="L52:P52"/>
    <mergeCell ref="L55:P55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92"/>
  <sheetViews>
    <sheetView topLeftCell="A13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164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417</v>
      </c>
      <c r="B32" s="62" t="s">
        <v>499</v>
      </c>
      <c r="C32" s="62" t="s">
        <v>481</v>
      </c>
      <c r="D32" s="63" t="s">
        <v>493</v>
      </c>
      <c r="E32" s="63" t="s">
        <v>36</v>
      </c>
      <c r="F32" s="63" t="s">
        <v>476</v>
      </c>
      <c r="G32" s="84" t="s">
        <v>37</v>
      </c>
      <c r="H32" s="63" t="s">
        <v>34</v>
      </c>
      <c r="I32" s="85" t="s">
        <v>500</v>
      </c>
      <c r="K32" s="37"/>
      <c r="L32" s="37"/>
    </row>
    <row r="33" spans="1:12" s="20" customFormat="1" x14ac:dyDescent="0.3">
      <c r="A33" s="82" t="s">
        <v>51</v>
      </c>
      <c r="B33" s="32" t="s">
        <v>486</v>
      </c>
      <c r="C33" s="32" t="s">
        <v>433</v>
      </c>
      <c r="D33" s="21" t="s">
        <v>139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501</v>
      </c>
      <c r="K33" s="37"/>
      <c r="L33" s="37"/>
    </row>
    <row r="34" spans="1:12" s="20" customFormat="1" x14ac:dyDescent="0.3">
      <c r="A34" s="82" t="s">
        <v>51</v>
      </c>
      <c r="B34" s="32" t="s">
        <v>490</v>
      </c>
      <c r="C34" s="32" t="s">
        <v>481</v>
      </c>
      <c r="D34" s="21" t="s">
        <v>139</v>
      </c>
      <c r="E34" s="21" t="s">
        <v>36</v>
      </c>
      <c r="F34" s="21" t="s">
        <v>482</v>
      </c>
      <c r="G34" s="22" t="s">
        <v>37</v>
      </c>
      <c r="H34" s="21" t="s">
        <v>34</v>
      </c>
      <c r="I34" s="86" t="s">
        <v>483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435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s="20" customFormat="1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  <c r="J47" s="37"/>
      <c r="K47" s="37"/>
      <c r="L47" s="37"/>
    </row>
    <row r="48" spans="1:12" s="20" customFormat="1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J48" s="37"/>
      <c r="K48" s="37"/>
      <c r="L48" s="37"/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0x4F</v>
      </c>
      <c r="J49" s="20" t="str">
        <f>DEC2HEX(MOD(K49,256))</f>
        <v>4F</v>
      </c>
      <c r="K49" s="37">
        <f>P51-1</f>
        <v>2639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0xA</v>
      </c>
      <c r="J50" s="20" t="str">
        <f>DEC2HEX((K49-MOD(K49,256))/256)</f>
        <v>A</v>
      </c>
      <c r="K50" s="37"/>
      <c r="L50" s="72" t="s">
        <v>259</v>
      </c>
      <c r="M50" s="72" t="s">
        <v>260</v>
      </c>
      <c r="N50" s="72" t="s">
        <v>261</v>
      </c>
      <c r="O50" s="72" t="s">
        <v>263</v>
      </c>
      <c r="P50" s="72" t="s">
        <v>269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528</v>
      </c>
      <c r="P51" s="73">
        <v>2640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265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259</v>
      </c>
      <c r="M53" s="72" t="s">
        <v>270</v>
      </c>
      <c r="N53" s="72" t="s">
        <v>261</v>
      </c>
      <c r="O53" s="72" t="s">
        <v>263</v>
      </c>
      <c r="P53" s="72" t="s">
        <v>269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271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25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39:I44" name="範圍1_3_3_1_1_1_2_1_1_2_1_1_1"/>
    <protectedRange password="EBC5" sqref="I11:I16" name="範圍1_3_3_1_1_1_2_1_1_2_2_4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</protectedRanges>
  <mergeCells count="9">
    <mergeCell ref="L56:P56"/>
    <mergeCell ref="A30:C30"/>
    <mergeCell ref="A1:C1"/>
    <mergeCell ref="A9:C9"/>
    <mergeCell ref="A47:C47"/>
    <mergeCell ref="L49:P49"/>
    <mergeCell ref="L52:P52"/>
    <mergeCell ref="L55:P55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92"/>
  <sheetViews>
    <sheetView topLeftCell="A16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164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462</v>
      </c>
      <c r="E32" s="63" t="s">
        <v>36</v>
      </c>
      <c r="F32" s="63" t="s">
        <v>476</v>
      </c>
      <c r="G32" s="84" t="s">
        <v>37</v>
      </c>
      <c r="H32" s="63" t="s">
        <v>34</v>
      </c>
      <c r="I32" s="85" t="s">
        <v>468</v>
      </c>
      <c r="K32" s="37"/>
      <c r="L32" s="37"/>
    </row>
    <row r="33" spans="1:12" s="20" customFormat="1" x14ac:dyDescent="0.3">
      <c r="A33" s="82" t="s">
        <v>51</v>
      </c>
      <c r="B33" s="32" t="s">
        <v>54</v>
      </c>
      <c r="C33" s="32" t="s">
        <v>481</v>
      </c>
      <c r="D33" s="21" t="s">
        <v>462</v>
      </c>
      <c r="E33" s="21" t="s">
        <v>36</v>
      </c>
      <c r="F33" s="21" t="s">
        <v>476</v>
      </c>
      <c r="G33" s="24" t="s">
        <v>39</v>
      </c>
      <c r="H33" s="21" t="s">
        <v>34</v>
      </c>
      <c r="I33" s="86" t="s">
        <v>479</v>
      </c>
      <c r="K33" s="37"/>
      <c r="L33" s="37"/>
    </row>
    <row r="34" spans="1:12" s="20" customFormat="1" x14ac:dyDescent="0.3">
      <c r="A34" s="82" t="s">
        <v>432</v>
      </c>
      <c r="B34" s="32" t="s">
        <v>55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483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442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0x97</v>
      </c>
      <c r="J49" s="20" t="str">
        <f>DEC2HEX(MOD(K49,256))</f>
        <v>97</v>
      </c>
      <c r="K49" s="37">
        <f>P51-1</f>
        <v>2199</v>
      </c>
      <c r="L49" s="91" t="s">
        <v>202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179</v>
      </c>
      <c r="M50" s="72" t="s">
        <v>180</v>
      </c>
      <c r="N50" s="72" t="s">
        <v>181</v>
      </c>
      <c r="O50" s="72" t="s">
        <v>183</v>
      </c>
      <c r="P50" s="72" t="s">
        <v>203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88</v>
      </c>
      <c r="P51" s="73">
        <v>2200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204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205</v>
      </c>
      <c r="M53" s="72" t="s">
        <v>206</v>
      </c>
      <c r="N53" s="72" t="s">
        <v>181</v>
      </c>
      <c r="O53" s="72" t="s">
        <v>207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185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30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39:I44" name="範圍1_3_3_1_1_1_2_1_1_2_1_1_1"/>
    <protectedRange password="EBC5" sqref="I11:I16" name="範圍1_3_3_1_1_1_2_1_1_2_2_4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U92"/>
  <sheetViews>
    <sheetView topLeftCell="A28" zoomScale="115" zoomScaleNormal="115" workbookViewId="0">
      <selection activeCell="K42" sqref="K42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8.88671875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8.88671875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164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462</v>
      </c>
      <c r="E32" s="63" t="s">
        <v>36</v>
      </c>
      <c r="F32" s="63" t="s">
        <v>476</v>
      </c>
      <c r="G32" s="84" t="s">
        <v>37</v>
      </c>
      <c r="H32" s="63" t="s">
        <v>34</v>
      </c>
      <c r="I32" s="85" t="s">
        <v>537</v>
      </c>
      <c r="K32" s="37"/>
      <c r="L32" s="37"/>
    </row>
    <row r="33" spans="1:12" s="20" customFormat="1" x14ac:dyDescent="0.3">
      <c r="A33" s="82" t="s">
        <v>51</v>
      </c>
      <c r="B33" s="32" t="s">
        <v>54</v>
      </c>
      <c r="C33" s="32" t="s">
        <v>52</v>
      </c>
      <c r="D33" s="21" t="s">
        <v>462</v>
      </c>
      <c r="E33" s="21" t="s">
        <v>36</v>
      </c>
      <c r="F33" s="21" t="s">
        <v>476</v>
      </c>
      <c r="G33" s="24" t="s">
        <v>39</v>
      </c>
      <c r="H33" s="21" t="s">
        <v>34</v>
      </c>
      <c r="I33" s="86" t="s">
        <v>536</v>
      </c>
      <c r="K33" s="37"/>
      <c r="L33" s="37"/>
    </row>
    <row r="34" spans="1:12" s="20" customFormat="1" x14ac:dyDescent="0.3">
      <c r="A34" s="82" t="s">
        <v>432</v>
      </c>
      <c r="B34" s="32" t="s">
        <v>55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541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540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541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442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540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0x97</v>
      </c>
      <c r="J49" s="20" t="str">
        <f>DEC2HEX(MOD(K49,256))</f>
        <v>97</v>
      </c>
      <c r="K49" s="37">
        <f>P51-1</f>
        <v>2199</v>
      </c>
      <c r="L49" s="91" t="s">
        <v>202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179</v>
      </c>
      <c r="M50" s="72" t="s">
        <v>180</v>
      </c>
      <c r="N50" s="72" t="s">
        <v>181</v>
      </c>
      <c r="O50" s="72" t="s">
        <v>183</v>
      </c>
      <c r="P50" s="72" t="s">
        <v>203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88</v>
      </c>
      <c r="P51" s="73">
        <v>2200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204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59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205</v>
      </c>
      <c r="M53" s="72" t="s">
        <v>206</v>
      </c>
      <c r="N53" s="72" t="s">
        <v>181</v>
      </c>
      <c r="O53" s="72" t="s">
        <v>207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46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178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30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100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67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305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305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43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11:I16" name="範圍1_3_3_1_1_1_2_1_1_2_2_4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  <protectedRange password="EBC5" sqref="I39:I44" name="範圍1_3_3_1_1_1_2_1_1_2_1_1_2"/>
  </protectedRanges>
  <mergeCells count="9">
    <mergeCell ref="L52:P52"/>
    <mergeCell ref="L55:P55"/>
    <mergeCell ref="L56:P56"/>
    <mergeCell ref="A1:C1"/>
    <mergeCell ref="A9:C9"/>
    <mergeCell ref="A30:C30"/>
    <mergeCell ref="A37:C37"/>
    <mergeCell ref="A47:C47"/>
    <mergeCell ref="L49:P49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92"/>
  <sheetViews>
    <sheetView topLeftCell="A16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492</v>
      </c>
      <c r="B32" s="62" t="s">
        <v>53</v>
      </c>
      <c r="C32" s="62" t="s">
        <v>52</v>
      </c>
      <c r="D32" s="63" t="s">
        <v>493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468</v>
      </c>
      <c r="K32" s="37"/>
      <c r="L32" s="37"/>
    </row>
    <row r="33" spans="1:12" s="20" customFormat="1" x14ac:dyDescent="0.3">
      <c r="A33" s="82" t="s">
        <v>492</v>
      </c>
      <c r="B33" s="32" t="s">
        <v>54</v>
      </c>
      <c r="C33" s="32" t="s">
        <v>494</v>
      </c>
      <c r="D33" s="21" t="s">
        <v>139</v>
      </c>
      <c r="E33" s="21" t="s">
        <v>36</v>
      </c>
      <c r="F33" s="21" t="s">
        <v>495</v>
      </c>
      <c r="G33" s="24" t="s">
        <v>39</v>
      </c>
      <c r="H33" s="21" t="s">
        <v>34</v>
      </c>
      <c r="I33" s="86" t="s">
        <v>496</v>
      </c>
      <c r="K33" s="37"/>
      <c r="L33" s="37"/>
    </row>
    <row r="34" spans="1:12" s="20" customFormat="1" x14ac:dyDescent="0.3">
      <c r="A34" s="82" t="s">
        <v>51</v>
      </c>
      <c r="B34" s="32" t="s">
        <v>55</v>
      </c>
      <c r="C34" s="32" t="s">
        <v>494</v>
      </c>
      <c r="D34" s="21" t="s">
        <v>497</v>
      </c>
      <c r="E34" s="21" t="s">
        <v>36</v>
      </c>
      <c r="F34" s="21" t="s">
        <v>498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J37" s="37"/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435</v>
      </c>
      <c r="E42" s="21" t="s">
        <v>36</v>
      </c>
      <c r="F42" s="21" t="s">
        <v>526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435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0x4F</v>
      </c>
      <c r="J49" s="20" t="str">
        <f>DEC2HEX(MOD(K49,256))</f>
        <v>4F</v>
      </c>
      <c r="K49" s="37">
        <f>P51-1</f>
        <v>2639</v>
      </c>
      <c r="L49" s="91" t="s">
        <v>208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0xA</v>
      </c>
      <c r="J50" s="20" t="str">
        <f>DEC2HEX((K49-MOD(K49,256))/256)</f>
        <v>A</v>
      </c>
      <c r="K50" s="37"/>
      <c r="L50" s="72" t="s">
        <v>179</v>
      </c>
      <c r="M50" s="72" t="s">
        <v>169</v>
      </c>
      <c r="N50" s="72" t="s">
        <v>170</v>
      </c>
      <c r="O50" s="72" t="s">
        <v>209</v>
      </c>
      <c r="P50" s="72" t="s">
        <v>175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528</v>
      </c>
      <c r="P51" s="73">
        <v>2640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168</v>
      </c>
      <c r="M53" s="72" t="s">
        <v>210</v>
      </c>
      <c r="N53" s="72" t="s">
        <v>171</v>
      </c>
      <c r="O53" s="72" t="s">
        <v>209</v>
      </c>
      <c r="P53" s="72" t="s">
        <v>211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212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50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310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307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299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3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39:I44" name="範圍1_3_3_1_1_1_2_1_1_2_1_1_1"/>
    <protectedRange password="EBC5" sqref="I11:I16" name="範圍1_3_3_1_1_1_2_1_1_2_2_4"/>
    <protectedRange password="EBC5" sqref="I17:I24" name="範圍1_3_3_1_1_1_2_1_1_2_2_1_1"/>
    <protectedRange password="EBC5" sqref="I25:I27" name="範圍1_3_3_1_1_1_2_1_1_2_2_2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92"/>
  <sheetViews>
    <sheetView topLeftCell="A25" zoomScale="115" zoomScaleNormal="115" workbookViewId="0">
      <selection activeCell="F45" sqref="F45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417</v>
      </c>
      <c r="B32" s="62" t="s">
        <v>484</v>
      </c>
      <c r="C32" s="62" t="s">
        <v>433</v>
      </c>
      <c r="D32" s="63" t="s">
        <v>431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485</v>
      </c>
      <c r="K32" s="37"/>
      <c r="L32" s="37"/>
    </row>
    <row r="33" spans="1:12" s="20" customFormat="1" x14ac:dyDescent="0.3">
      <c r="A33" s="31" t="s">
        <v>417</v>
      </c>
      <c r="B33" s="32" t="s">
        <v>486</v>
      </c>
      <c r="C33" s="32" t="s">
        <v>433</v>
      </c>
      <c r="D33" s="21" t="s">
        <v>431</v>
      </c>
      <c r="E33" s="21" t="s">
        <v>36</v>
      </c>
      <c r="F33" s="21" t="s">
        <v>487</v>
      </c>
      <c r="G33" s="24" t="s">
        <v>488</v>
      </c>
      <c r="H33" s="21" t="s">
        <v>34</v>
      </c>
      <c r="I33" s="86" t="s">
        <v>489</v>
      </c>
      <c r="K33" s="37"/>
      <c r="L33" s="37"/>
    </row>
    <row r="34" spans="1:12" s="20" customFormat="1" x14ac:dyDescent="0.3">
      <c r="A34" s="31" t="s">
        <v>417</v>
      </c>
      <c r="B34" s="32" t="s">
        <v>490</v>
      </c>
      <c r="C34" s="32" t="s">
        <v>52</v>
      </c>
      <c r="D34" s="21" t="s">
        <v>139</v>
      </c>
      <c r="E34" s="21" t="s">
        <v>36</v>
      </c>
      <c r="F34" s="21" t="s">
        <v>434</v>
      </c>
      <c r="G34" s="22" t="s">
        <v>37</v>
      </c>
      <c r="H34" s="21" t="s">
        <v>34</v>
      </c>
      <c r="I34" s="86" t="s">
        <v>491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431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431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0x97</v>
      </c>
      <c r="J49" s="20" t="str">
        <f>DEC2HEX(MOD(K49,256))</f>
        <v>97</v>
      </c>
      <c r="K49" s="37">
        <f>P51-1</f>
        <v>2199</v>
      </c>
      <c r="L49" s="91" t="s">
        <v>213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168</v>
      </c>
      <c r="M50" s="72" t="s">
        <v>214</v>
      </c>
      <c r="N50" s="72" t="s">
        <v>194</v>
      </c>
      <c r="O50" s="72" t="s">
        <v>215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88</v>
      </c>
      <c r="P51" s="73">
        <v>2200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193</v>
      </c>
      <c r="M53" s="72" t="s">
        <v>169</v>
      </c>
      <c r="N53" s="72" t="s">
        <v>170</v>
      </c>
      <c r="O53" s="72" t="s">
        <v>172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216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64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310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104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104</v>
      </c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104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110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_1"/>
    <protectedRange password="EBC5" sqref="I36 I28:I29" name="範圍1_3_3_1_1_1_2_1_1_2_1_3"/>
    <protectedRange password="EBC5" sqref="I49:I88" name="範圍1_3_3_1_1_1_2_1_1_2_1_2"/>
    <protectedRange password="EBC5" sqref="I4:I6" name="範圍1_3_3_1_1_1_2_1_1_2_3"/>
    <protectedRange password="EBC5" sqref="I91:I92" name="範圍1_3_3_1_1_1_2_1_1_2_2_1"/>
    <protectedRange password="EBC5" sqref="I89:I90" name="範圍1_3_3_1_1_1_2_1_1_2_1_2_1"/>
    <protectedRange password="EBC5" sqref="I3 I7:I8" name="範圍1_3_3_1_1_1_2_1_1_2"/>
    <protectedRange password="EBC5" sqref="I35 I45" name="範圍1_3_3_1_1_1_2_1_1_2_1"/>
    <protectedRange password="EBC5" sqref="I39:I44" name="範圍1_3_3_1_1_1_2_1_1_2_1_1_1"/>
    <protectedRange password="EBC5" sqref="I11:I16" name="範圍1_3_3_1_1_1_2_1_1_2_2_4"/>
    <protectedRange password="EBC5" sqref="I17:I24" name="範圍1_3_3_1_1_1_2_1_1_2_2_1_1_1"/>
    <protectedRange password="EBC5" sqref="I25:I27" name="範圍1_3_3_1_1_1_2_1_1_2_2_2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FF00"/>
  </sheetPr>
  <dimension ref="A1:U92"/>
  <sheetViews>
    <sheetView topLeftCell="A31" zoomScale="115" zoomScaleNormal="115" workbookViewId="0">
      <selection activeCell="I39" sqref="I39:I44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3.6640625" bestFit="1" customWidth="1"/>
    <col min="6" max="8" width="8.88671875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8.88671875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417</v>
      </c>
      <c r="B32" s="62" t="s">
        <v>484</v>
      </c>
      <c r="C32" s="62" t="s">
        <v>433</v>
      </c>
      <c r="D32" s="63" t="s">
        <v>431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538</v>
      </c>
      <c r="K32" s="37"/>
      <c r="L32" s="37"/>
    </row>
    <row r="33" spans="1:12" s="20" customFormat="1" x14ac:dyDescent="0.3">
      <c r="A33" s="31" t="s">
        <v>417</v>
      </c>
      <c r="B33" s="32" t="s">
        <v>54</v>
      </c>
      <c r="C33" s="32" t="s">
        <v>433</v>
      </c>
      <c r="D33" s="21" t="s">
        <v>431</v>
      </c>
      <c r="E33" s="21" t="s">
        <v>36</v>
      </c>
      <c r="F33" s="21" t="s">
        <v>56</v>
      </c>
      <c r="G33" s="24" t="s">
        <v>424</v>
      </c>
      <c r="H33" s="21" t="s">
        <v>34</v>
      </c>
      <c r="I33" s="86" t="s">
        <v>539</v>
      </c>
      <c r="K33" s="37"/>
      <c r="L33" s="37"/>
    </row>
    <row r="34" spans="1:12" s="20" customFormat="1" x14ac:dyDescent="0.3">
      <c r="A34" s="31" t="s">
        <v>417</v>
      </c>
      <c r="B34" s="32" t="s">
        <v>55</v>
      </c>
      <c r="C34" s="32" t="s">
        <v>52</v>
      </c>
      <c r="D34" s="21" t="s">
        <v>139</v>
      </c>
      <c r="E34" s="21" t="s">
        <v>36</v>
      </c>
      <c r="F34" s="21" t="s">
        <v>434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541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540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431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541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431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540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0x97</v>
      </c>
      <c r="J49" s="20" t="str">
        <f>DEC2HEX(MOD(K49,256))</f>
        <v>97</v>
      </c>
      <c r="K49" s="37">
        <f>P51-1</f>
        <v>2199</v>
      </c>
      <c r="L49" s="91" t="s">
        <v>213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168</v>
      </c>
      <c r="M50" s="72" t="s">
        <v>180</v>
      </c>
      <c r="N50" s="72" t="s">
        <v>194</v>
      </c>
      <c r="O50" s="72" t="s">
        <v>215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0x64</v>
      </c>
      <c r="J51" s="20" t="str">
        <f>DEC2HEX(MOD(K51,256))</f>
        <v>64</v>
      </c>
      <c r="K51" s="37">
        <f>P54-1</f>
        <v>1124</v>
      </c>
      <c r="L51" s="73">
        <v>44</v>
      </c>
      <c r="M51" s="73">
        <v>148</v>
      </c>
      <c r="N51" s="73">
        <v>1920</v>
      </c>
      <c r="O51" s="73">
        <f>P51-N51-M51-L51</f>
        <v>88</v>
      </c>
      <c r="P51" s="73">
        <v>2200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59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193</v>
      </c>
      <c r="M53" s="72" t="s">
        <v>169</v>
      </c>
      <c r="N53" s="72" t="s">
        <v>170</v>
      </c>
      <c r="O53" s="72" t="s">
        <v>172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5</v>
      </c>
      <c r="M54" s="73">
        <v>36</v>
      </c>
      <c r="N54" s="73">
        <v>1080</v>
      </c>
      <c r="O54" s="73">
        <f>P54-N54-M54-L54</f>
        <v>4</v>
      </c>
      <c r="P54" s="73">
        <v>1125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46</v>
      </c>
      <c r="G55" s="22" t="s">
        <v>37</v>
      </c>
      <c r="H55" s="21" t="s">
        <v>34</v>
      </c>
      <c r="I55" s="21" t="str">
        <f t="shared" si="0"/>
        <v>0x2B</v>
      </c>
      <c r="J55" s="20" t="str">
        <f>DEC2HEX(MOD(K55,256))</f>
        <v>2B</v>
      </c>
      <c r="K55" s="37">
        <f>L51-1</f>
        <v>43</v>
      </c>
      <c r="L55" s="91" t="s">
        <v>178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0x04</v>
      </c>
      <c r="J59" s="20" t="str">
        <f>DEC2HEX(MOD(K59,256))</f>
        <v>4</v>
      </c>
      <c r="K59" s="37">
        <f>L54-1</f>
        <v>4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0xC0</v>
      </c>
      <c r="J61" s="20" t="str">
        <f>DEC2HEX(MOD(K61,256))</f>
        <v>C0</v>
      </c>
      <c r="K61" s="37">
        <f>L51+M51</f>
        <v>192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100</v>
      </c>
      <c r="G62" s="24" t="s">
        <v>39</v>
      </c>
      <c r="H62" s="21" t="s">
        <v>34</v>
      </c>
      <c r="I62" s="21" t="str">
        <f t="shared" si="0"/>
        <v>0x00</v>
      </c>
      <c r="J62" s="20" t="str">
        <f>DEC2HEX((K61-MOD(K61,256))/256)</f>
        <v>0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0x3F</v>
      </c>
      <c r="J63" s="20" t="str">
        <f>DEC2HEX(MOD(K63,256))</f>
        <v>3F</v>
      </c>
      <c r="K63" s="37">
        <f>L51+M51+N51-1</f>
        <v>2111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67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0x60</v>
      </c>
      <c r="J67" s="20" t="str">
        <f>DEC2HEX(MOD(K67,256))</f>
        <v>60</v>
      </c>
      <c r="K67" s="37">
        <f>L54+M54+N54-1</f>
        <v>1120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310</v>
      </c>
      <c r="G69" s="22" t="s">
        <v>37</v>
      </c>
      <c r="H69" s="21" t="s">
        <v>34</v>
      </c>
      <c r="I69" s="21" t="str">
        <f t="shared" si="0"/>
        <v>0xC0</v>
      </c>
      <c r="J69" s="20" t="str">
        <f>J61</f>
        <v>C0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0x00</v>
      </c>
      <c r="J70" s="20" t="str">
        <f t="shared" ref="J70:J76" si="1">J62</f>
        <v>0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305</v>
      </c>
      <c r="G71" s="22" t="s">
        <v>37</v>
      </c>
      <c r="H71" s="21" t="s">
        <v>34</v>
      </c>
      <c r="I71" s="21" t="str">
        <f t="shared" si="0"/>
        <v>0x3F</v>
      </c>
      <c r="J71" s="20" t="str">
        <f t="shared" si="1"/>
        <v>3F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305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0x60</v>
      </c>
      <c r="J75" s="20" t="str">
        <f t="shared" si="1"/>
        <v>60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0x2B</v>
      </c>
      <c r="J79" s="20" t="str">
        <f t="shared" si="2"/>
        <v>2B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0xC0</v>
      </c>
      <c r="J81" s="20" t="str">
        <f>J61</f>
        <v>C0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0x00</v>
      </c>
      <c r="J82" s="20" t="str">
        <f t="shared" ref="J82:J88" si="3">J62</f>
        <v>0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0x3F</v>
      </c>
      <c r="J83" s="20" t="str">
        <f t="shared" si="3"/>
        <v>3F</v>
      </c>
      <c r="K83" s="37"/>
      <c r="L83" s="37"/>
    </row>
    <row r="84" spans="1:12" s="20" customFormat="1" x14ac:dyDescent="0.3">
      <c r="A84" s="31" t="s">
        <v>93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0x60</v>
      </c>
      <c r="J87" s="20" t="str">
        <f t="shared" si="3"/>
        <v>60</v>
      </c>
      <c r="K87" s="37"/>
      <c r="L87" s="37"/>
    </row>
    <row r="88" spans="1:12" s="20" customFormat="1" x14ac:dyDescent="0.3">
      <c r="A88" s="31" t="s">
        <v>93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43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_1"/>
    <protectedRange password="EBC5" sqref="I36 I28:I29" name="範圍1_3_3_1_1_1_2_1_1_2_1_3"/>
    <protectedRange password="EBC5" sqref="I49:I88" name="範圍1_3_3_1_1_1_2_1_1_2_1_2"/>
    <protectedRange password="EBC5" sqref="I4:I6" name="範圍1_3_3_1_1_1_2_1_1_2_3"/>
    <protectedRange password="EBC5" sqref="I91:I92" name="範圍1_3_3_1_1_1_2_1_1_2_2_1"/>
    <protectedRange password="EBC5" sqref="I89:I90" name="範圍1_3_3_1_1_1_2_1_1_2_1_2_1"/>
    <protectedRange password="EBC5" sqref="I3 I7:I8" name="範圍1_3_3_1_1_1_2_1_1_2"/>
    <protectedRange password="EBC5" sqref="I35 I45" name="範圍1_3_3_1_1_1_2_1_1_2_1"/>
    <protectedRange password="EBC5" sqref="I11:I16" name="範圍1_3_3_1_1_1_2_1_1_2_2_4"/>
    <protectedRange password="EBC5" sqref="I17:I24" name="範圍1_3_3_1_1_1_2_1_1_2_2_1_1_1"/>
    <protectedRange password="EBC5" sqref="I25:I27" name="範圍1_3_3_1_1_1_2_1_1_2_2_2_1"/>
    <protectedRange password="EBC5" sqref="I32:I34" name="範圍1_3_3_1_1_1_2_1_1_2_4_1_1"/>
    <protectedRange password="EBC5" sqref="I39:I44" name="範圍1_3_3_1_1_1_2_1_1_2_1_1"/>
  </protectedRanges>
  <mergeCells count="9">
    <mergeCell ref="L52:P52"/>
    <mergeCell ref="L55:P55"/>
    <mergeCell ref="L56:P56"/>
    <mergeCell ref="A1:C1"/>
    <mergeCell ref="A9:C9"/>
    <mergeCell ref="A30:C30"/>
    <mergeCell ref="A37:C37"/>
    <mergeCell ref="A47:C47"/>
    <mergeCell ref="L49:P49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U92"/>
  <sheetViews>
    <sheetView topLeftCell="A19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432</v>
      </c>
      <c r="B32" s="62" t="s">
        <v>474</v>
      </c>
      <c r="C32" s="62" t="s">
        <v>475</v>
      </c>
      <c r="D32" s="63" t="s">
        <v>462</v>
      </c>
      <c r="E32" s="63" t="s">
        <v>36</v>
      </c>
      <c r="F32" s="63" t="s">
        <v>476</v>
      </c>
      <c r="G32" s="84" t="s">
        <v>37</v>
      </c>
      <c r="H32" s="63" t="s">
        <v>34</v>
      </c>
      <c r="I32" s="85" t="s">
        <v>477</v>
      </c>
      <c r="K32" s="37"/>
      <c r="L32" s="37"/>
    </row>
    <row r="33" spans="1:12" s="20" customFormat="1" x14ac:dyDescent="0.3">
      <c r="A33" s="31" t="s">
        <v>432</v>
      </c>
      <c r="B33" s="32" t="s">
        <v>429</v>
      </c>
      <c r="C33" s="32" t="s">
        <v>52</v>
      </c>
      <c r="D33" s="21" t="s">
        <v>462</v>
      </c>
      <c r="E33" s="21" t="s">
        <v>36</v>
      </c>
      <c r="F33" s="21" t="s">
        <v>476</v>
      </c>
      <c r="G33" s="24" t="s">
        <v>478</v>
      </c>
      <c r="H33" s="21" t="s">
        <v>34</v>
      </c>
      <c r="I33" s="86" t="s">
        <v>479</v>
      </c>
      <c r="K33" s="37"/>
      <c r="L33" s="37"/>
    </row>
    <row r="34" spans="1:12" s="20" customFormat="1" x14ac:dyDescent="0.3">
      <c r="A34" s="31" t="s">
        <v>51</v>
      </c>
      <c r="B34" s="32" t="s">
        <v>480</v>
      </c>
      <c r="C34" s="32" t="s">
        <v>481</v>
      </c>
      <c r="D34" s="21" t="s">
        <v>462</v>
      </c>
      <c r="E34" s="21" t="s">
        <v>36</v>
      </c>
      <c r="F34" s="21" t="s">
        <v>482</v>
      </c>
      <c r="G34" s="22" t="s">
        <v>37</v>
      </c>
      <c r="H34" s="21" t="s">
        <v>34</v>
      </c>
      <c r="I34" s="86" t="s">
        <v>483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K39" s="37"/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K40" s="37"/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K42" s="37"/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442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K43" s="37"/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442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s="20" customFormat="1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  <c r="J47" s="37"/>
      <c r="K47" s="37"/>
      <c r="L47" s="37"/>
    </row>
    <row r="48" spans="1:12" s="20" customFormat="1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J48" s="37"/>
      <c r="K48" s="37"/>
      <c r="L48" s="37"/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0xE3</v>
      </c>
      <c r="J49" s="20" t="str">
        <f>DEC2HEX(MOD(K49,256))</f>
        <v>E3</v>
      </c>
      <c r="K49" s="37">
        <f>P51-1</f>
        <v>3299</v>
      </c>
      <c r="L49" s="91" t="s">
        <v>348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0xC</v>
      </c>
      <c r="J50" s="20" t="str">
        <f>DEC2HEX((K49-MOD(K49,256))/256)</f>
        <v>C</v>
      </c>
      <c r="K50" s="37"/>
      <c r="L50" s="72" t="s">
        <v>349</v>
      </c>
      <c r="M50" s="72" t="s">
        <v>350</v>
      </c>
      <c r="N50" s="72" t="s">
        <v>351</v>
      </c>
      <c r="O50" s="72" t="s">
        <v>352</v>
      </c>
      <c r="P50" s="72" t="s">
        <v>353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0xDB</v>
      </c>
      <c r="J51" s="20" t="str">
        <f>DEC2HEX(MOD(K51,256))</f>
        <v>DB</v>
      </c>
      <c r="K51" s="37">
        <f>P54-1</f>
        <v>1499</v>
      </c>
      <c r="L51" s="73">
        <v>80</v>
      </c>
      <c r="M51" s="73">
        <v>440</v>
      </c>
      <c r="N51" s="73">
        <v>2560</v>
      </c>
      <c r="O51" s="73">
        <f>P51-N51-M51-L51</f>
        <v>220</v>
      </c>
      <c r="P51" s="73">
        <v>3300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0x05</v>
      </c>
      <c r="J52" s="20" t="str">
        <f>DEC2HEX((K51-MOD(K51,256))/256)</f>
        <v>5</v>
      </c>
      <c r="K52" s="37"/>
      <c r="L52" s="91" t="s">
        <v>204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349</v>
      </c>
      <c r="M53" s="72" t="s">
        <v>180</v>
      </c>
      <c r="N53" s="72" t="s">
        <v>187</v>
      </c>
      <c r="O53" s="72" t="s">
        <v>172</v>
      </c>
      <c r="P53" s="72" t="s">
        <v>353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10</v>
      </c>
      <c r="M54" s="73">
        <v>40</v>
      </c>
      <c r="N54" s="73">
        <v>1440</v>
      </c>
      <c r="O54" s="73">
        <f>P54-N54-M54-L54</f>
        <v>10</v>
      </c>
      <c r="P54" s="73">
        <v>1500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0x4F</v>
      </c>
      <c r="J55" s="20" t="str">
        <f>DEC2HEX(MOD(K55,256))</f>
        <v>4F</v>
      </c>
      <c r="K55" s="37">
        <f>L51-1</f>
        <v>79</v>
      </c>
      <c r="L55" s="91" t="s">
        <v>184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30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0x09</v>
      </c>
      <c r="J59" s="20" t="str">
        <f>DEC2HEX(MOD(K59,256))</f>
        <v>9</v>
      </c>
      <c r="K59" s="37">
        <f>L54-1</f>
        <v>9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0x08</v>
      </c>
      <c r="J61" s="20" t="str">
        <f>DEC2HEX(MOD(K61,256))</f>
        <v>8</v>
      </c>
      <c r="K61" s="37">
        <f>L51+M51</f>
        <v>520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0x02</v>
      </c>
      <c r="J62" s="20" t="str">
        <f>DEC2HEX((K61-MOD(K61,256))/256)</f>
        <v>2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0x07</v>
      </c>
      <c r="J63" s="20" t="str">
        <f>DEC2HEX(MOD(K63,256))</f>
        <v>7</v>
      </c>
      <c r="K63" s="37">
        <f>L51+M51+N51-1</f>
        <v>3079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0xC</v>
      </c>
      <c r="J64" s="20" t="str">
        <f>DEC2HEX((K63-MOD(K63,256))/256)</f>
        <v>C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0x32</v>
      </c>
      <c r="J65" s="20" t="str">
        <f>DEC2HEX(MOD(K65,256))</f>
        <v>32</v>
      </c>
      <c r="K65" s="37">
        <f>L54+M54</f>
        <v>50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0xD1</v>
      </c>
      <c r="J67" s="20" t="str">
        <f>DEC2HEX(MOD(K67,256))</f>
        <v>D1</v>
      </c>
      <c r="K67" s="37">
        <f>L54+M54+N54-1</f>
        <v>1489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0x05</v>
      </c>
      <c r="J68" s="20" t="str">
        <f>DEC2HEX((K67-MOD(K67,256))/256)</f>
        <v>5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0x08</v>
      </c>
      <c r="J69" s="20" t="str">
        <f>J61</f>
        <v>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0x02</v>
      </c>
      <c r="J70" s="20" t="str">
        <f t="shared" ref="J70:J76" si="1">J62</f>
        <v>2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0x07</v>
      </c>
      <c r="J71" s="20" t="str">
        <f t="shared" si="1"/>
        <v>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0xC</v>
      </c>
      <c r="J72" s="20" t="str">
        <f t="shared" si="1"/>
        <v>C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0x32</v>
      </c>
      <c r="J73" s="20" t="str">
        <f t="shared" si="1"/>
        <v>32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0xD1</v>
      </c>
      <c r="J75" s="20" t="str">
        <f t="shared" si="1"/>
        <v>D1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0x05</v>
      </c>
      <c r="J76" s="20" t="str">
        <f t="shared" si="1"/>
        <v>5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0x4F</v>
      </c>
      <c r="J79" s="20" t="str">
        <f t="shared" si="2"/>
        <v>4F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0x08</v>
      </c>
      <c r="J81" s="20" t="str">
        <f>J61</f>
        <v>8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0x02</v>
      </c>
      <c r="J82" s="20" t="str">
        <f t="shared" ref="J82:J88" si="3">J62</f>
        <v>2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0x07</v>
      </c>
      <c r="J83" s="20" t="str">
        <f t="shared" si="3"/>
        <v>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0xC</v>
      </c>
      <c r="J84" s="20" t="str">
        <f t="shared" si="3"/>
        <v>C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0x32</v>
      </c>
      <c r="J85" s="20" t="str">
        <f t="shared" si="3"/>
        <v>32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0xD1</v>
      </c>
      <c r="J87" s="20" t="str">
        <f t="shared" si="3"/>
        <v>D1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0x05</v>
      </c>
      <c r="J88" s="20" t="str">
        <f t="shared" si="3"/>
        <v>5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3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_2"/>
    <protectedRange password="EBC5" sqref="I3 I7:I8" name="範圍1_3_3_1_1_1_2_1_1_2"/>
    <protectedRange password="EBC5" sqref="I35 I45" name="範圍1_3_3_1_1_1_2_1_1_2_2"/>
    <protectedRange password="EBC5" sqref="I39:I44" name="範圍1_3_3_1_1_1_2_1_1_2_1_1_1"/>
    <protectedRange password="EBC5" sqref="I11:I16" name="範圍1_3_3_1_1_1_2_1_1_2_2_4"/>
    <protectedRange password="EBC5" sqref="I17:I24" name="範圍1_3_3_1_1_1_2_1_1_2_2_1_1_1"/>
    <protectedRange password="EBC5" sqref="I25:I27" name="範圍1_3_3_1_1_1_2_1_1_2_2_2_1_1"/>
    <protectedRange password="EBC5" sqref="I32:I34" name="範圍1_3_3_1_1_1_2_1_1_2_4_1"/>
  </protectedRanges>
  <mergeCells count="9">
    <mergeCell ref="L56:P56"/>
    <mergeCell ref="A30:C30"/>
    <mergeCell ref="A1:C1"/>
    <mergeCell ref="A9:C9"/>
    <mergeCell ref="A47:C47"/>
    <mergeCell ref="L49:P49"/>
    <mergeCell ref="L52:P52"/>
    <mergeCell ref="L55:P55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:U92"/>
  <sheetViews>
    <sheetView topLeftCell="A22" zoomScale="115" zoomScaleNormal="115" workbookViewId="0">
      <selection activeCell="F45" sqref="F45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468</v>
      </c>
      <c r="K32" s="37"/>
      <c r="L32" s="37"/>
    </row>
    <row r="33" spans="1:12" s="20" customFormat="1" x14ac:dyDescent="0.3">
      <c r="A33" s="82" t="s">
        <v>420</v>
      </c>
      <c r="B33" s="32" t="s">
        <v>469</v>
      </c>
      <c r="C33" s="32" t="s">
        <v>470</v>
      </c>
      <c r="D33" s="21" t="s">
        <v>471</v>
      </c>
      <c r="E33" s="21" t="s">
        <v>36</v>
      </c>
      <c r="F33" s="21" t="s">
        <v>56</v>
      </c>
      <c r="G33" s="24" t="s">
        <v>424</v>
      </c>
      <c r="H33" s="21" t="s">
        <v>34</v>
      </c>
      <c r="I33" s="86" t="s">
        <v>472</v>
      </c>
      <c r="K33" s="37"/>
      <c r="L33" s="37"/>
    </row>
    <row r="34" spans="1:12" s="20" customFormat="1" x14ac:dyDescent="0.3">
      <c r="A34" s="82" t="s">
        <v>459</v>
      </c>
      <c r="B34" s="32" t="s">
        <v>419</v>
      </c>
      <c r="C34" s="32" t="s">
        <v>449</v>
      </c>
      <c r="D34" s="21" t="s">
        <v>473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83" t="s">
        <v>388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83" t="s">
        <v>387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83" t="s">
        <v>386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83" t="s">
        <v>388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435</v>
      </c>
      <c r="E43" s="21" t="s">
        <v>36</v>
      </c>
      <c r="F43" s="21" t="s">
        <v>527</v>
      </c>
      <c r="G43" s="24" t="s">
        <v>39</v>
      </c>
      <c r="H43" s="21" t="s">
        <v>34</v>
      </c>
      <c r="I43" s="83" t="s">
        <v>387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435</v>
      </c>
      <c r="E44" s="21" t="s">
        <v>36</v>
      </c>
      <c r="F44" s="21" t="s">
        <v>530</v>
      </c>
      <c r="G44" s="22" t="s">
        <v>37</v>
      </c>
      <c r="H44" s="21" t="s">
        <v>34</v>
      </c>
      <c r="I44" s="83" t="s">
        <v>386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s="20" customFormat="1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  <c r="J47" s="37"/>
      <c r="K47" s="37"/>
      <c r="L47" s="37"/>
    </row>
    <row r="48" spans="1:12" s="20" customFormat="1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  <c r="J48" s="37"/>
      <c r="K48" s="37"/>
      <c r="L48" s="37"/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0x2F</v>
      </c>
      <c r="J49" s="20" t="str">
        <f>DEC2HEX(MOD(K49,256))</f>
        <v>2F</v>
      </c>
      <c r="K49" s="37">
        <f>P51-1</f>
        <v>4399</v>
      </c>
      <c r="L49" s="91" t="s">
        <v>272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0x11</v>
      </c>
      <c r="J50" s="20" t="str">
        <f>DEC2HEX((K49-MOD(K49,256))/256)</f>
        <v>11</v>
      </c>
      <c r="K50" s="37"/>
      <c r="L50" s="72" t="s">
        <v>273</v>
      </c>
      <c r="M50" s="72" t="s">
        <v>274</v>
      </c>
      <c r="N50" s="72" t="s">
        <v>275</v>
      </c>
      <c r="O50" s="72" t="s">
        <v>263</v>
      </c>
      <c r="P50" s="72" t="s">
        <v>276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0xC9</v>
      </c>
      <c r="J51" s="20" t="str">
        <f>DEC2HEX(MOD(K51,256))</f>
        <v>C9</v>
      </c>
      <c r="K51" s="37">
        <f>P54-1</f>
        <v>2249</v>
      </c>
      <c r="L51" s="73">
        <v>88</v>
      </c>
      <c r="M51" s="73">
        <v>296</v>
      </c>
      <c r="N51" s="73">
        <v>3840</v>
      </c>
      <c r="O51" s="73">
        <f>P51-N51-M51-L51</f>
        <v>176</v>
      </c>
      <c r="P51" s="73">
        <v>4400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0x08</v>
      </c>
      <c r="J52" s="20" t="str">
        <f>DEC2HEX((K51-MOD(K51,256))/256)</f>
        <v>8</v>
      </c>
      <c r="K52" s="37"/>
      <c r="L52" s="91" t="s">
        <v>265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266</v>
      </c>
      <c r="M53" s="72" t="s">
        <v>277</v>
      </c>
      <c r="N53" s="72" t="s">
        <v>261</v>
      </c>
      <c r="O53" s="72" t="s">
        <v>263</v>
      </c>
      <c r="P53" s="72" t="s">
        <v>278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96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10</v>
      </c>
      <c r="M54" s="73">
        <v>72</v>
      </c>
      <c r="N54" s="73">
        <v>2160</v>
      </c>
      <c r="O54" s="73">
        <f>P54-N54-M54-L54</f>
        <v>8</v>
      </c>
      <c r="P54" s="73">
        <v>2250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0x57</v>
      </c>
      <c r="J55" s="20" t="str">
        <f>DEC2HEX(MOD(K55,256))</f>
        <v>57</v>
      </c>
      <c r="K55" s="37">
        <f>L51-1</f>
        <v>87</v>
      </c>
      <c r="L55" s="91" t="s">
        <v>279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64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30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99</v>
      </c>
      <c r="G59" s="22" t="s">
        <v>37</v>
      </c>
      <c r="H59" s="21" t="s">
        <v>34</v>
      </c>
      <c r="I59" s="21" t="str">
        <f t="shared" si="0"/>
        <v>0x09</v>
      </c>
      <c r="J59" s="20" t="str">
        <f>DEC2HEX(MOD(K59,256))</f>
        <v>9</v>
      </c>
      <c r="K59" s="37">
        <f>L54-1</f>
        <v>9</v>
      </c>
      <c r="L59" s="37"/>
    </row>
    <row r="60" spans="1:16" s="20" customFormat="1" x14ac:dyDescent="0.3">
      <c r="A60" s="31" t="s">
        <v>93</v>
      </c>
      <c r="B60" s="32" t="s">
        <v>75</v>
      </c>
      <c r="C60" s="32"/>
      <c r="D60" s="21" t="s">
        <v>140</v>
      </c>
      <c r="E60" s="21" t="s">
        <v>36</v>
      </c>
      <c r="F60" s="21" t="s">
        <v>99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0x80</v>
      </c>
      <c r="J61" s="20" t="str">
        <f>DEC2HEX(MOD(K61,256))</f>
        <v>80</v>
      </c>
      <c r="K61" s="37">
        <f>L51+M51</f>
        <v>384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0x7F</v>
      </c>
      <c r="J63" s="20" t="str">
        <f>DEC2HEX(MOD(K63,256))</f>
        <v>7F</v>
      </c>
      <c r="K63" s="37">
        <f>L51+M51+N51-1</f>
        <v>4223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0x10</v>
      </c>
      <c r="J64" s="20" t="str">
        <f>DEC2HEX((K63-MOD(K63,256))/256)</f>
        <v>10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0x52</v>
      </c>
      <c r="J65" s="20" t="str">
        <f>DEC2HEX(MOD(K65,256))</f>
        <v>52</v>
      </c>
      <c r="K65" s="37">
        <f>L54+M54</f>
        <v>82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0xC1</v>
      </c>
      <c r="J67" s="20" t="str">
        <f>DEC2HEX(MOD(K67,256))</f>
        <v>C1</v>
      </c>
      <c r="K67" s="37">
        <f>L54+M54+N54-1</f>
        <v>2241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0x08</v>
      </c>
      <c r="J68" s="20" t="str">
        <f>DEC2HEX((K67-MOD(K67,256))/256)</f>
        <v>8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104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0x80</v>
      </c>
      <c r="J69" s="20" t="str">
        <f>J61</f>
        <v>80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104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0x7F</v>
      </c>
      <c r="J71" s="20" t="str">
        <f t="shared" si="1"/>
        <v>7F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0x10</v>
      </c>
      <c r="J72" s="20" t="str">
        <f t="shared" si="1"/>
        <v>10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104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0x52</v>
      </c>
      <c r="J73" s="20" t="str">
        <f t="shared" si="1"/>
        <v>52</v>
      </c>
      <c r="K73" s="37"/>
      <c r="L73" s="37"/>
    </row>
    <row r="74" spans="1:12" s="20" customFormat="1" x14ac:dyDescent="0.3">
      <c r="A74" s="31" t="s">
        <v>93</v>
      </c>
      <c r="B74" s="55" t="s">
        <v>108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104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0xC1</v>
      </c>
      <c r="J75" s="20" t="str">
        <f t="shared" si="1"/>
        <v>C1</v>
      </c>
      <c r="K75" s="37"/>
      <c r="L75" s="37"/>
    </row>
    <row r="76" spans="1:12" s="20" customFormat="1" x14ac:dyDescent="0.3">
      <c r="A76" s="31" t="s">
        <v>93</v>
      </c>
      <c r="B76" s="55" t="s">
        <v>110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0x08</v>
      </c>
      <c r="J76" s="20" t="str">
        <f t="shared" si="1"/>
        <v>8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116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0x57</v>
      </c>
      <c r="J79" s="20" t="str">
        <f t="shared" si="2"/>
        <v>57</v>
      </c>
      <c r="K79" s="37"/>
      <c r="L79" s="37"/>
    </row>
    <row r="80" spans="1:12" s="20" customFormat="1" x14ac:dyDescent="0.3">
      <c r="A80" s="31" t="s">
        <v>93</v>
      </c>
      <c r="B80" s="32" t="s">
        <v>114</v>
      </c>
      <c r="C80" s="32"/>
      <c r="D80" s="63" t="s">
        <v>140</v>
      </c>
      <c r="E80" s="21" t="s">
        <v>36</v>
      </c>
      <c r="F80" s="21" t="s">
        <v>117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0x80</v>
      </c>
      <c r="J81" s="20" t="str">
        <f>J61</f>
        <v>80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0x7F</v>
      </c>
      <c r="J83" s="20" t="str">
        <f t="shared" si="3"/>
        <v>7F</v>
      </c>
      <c r="K83" s="37"/>
      <c r="L83" s="37"/>
    </row>
    <row r="84" spans="1:12" s="20" customFormat="1" x14ac:dyDescent="0.3">
      <c r="A84" s="31" t="s">
        <v>93</v>
      </c>
      <c r="B84" s="32" t="s">
        <v>121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0x10</v>
      </c>
      <c r="J84" s="20" t="str">
        <f t="shared" si="3"/>
        <v>10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0x52</v>
      </c>
      <c r="J85" s="20" t="str">
        <f t="shared" si="3"/>
        <v>52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0xC1</v>
      </c>
      <c r="J87" s="20" t="str">
        <f t="shared" si="3"/>
        <v>C1</v>
      </c>
      <c r="K87" s="37"/>
      <c r="L87" s="37"/>
    </row>
    <row r="88" spans="1:12" s="20" customFormat="1" x14ac:dyDescent="0.3">
      <c r="A88" s="31" t="s">
        <v>93</v>
      </c>
      <c r="B88" s="32" t="s">
        <v>124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0x08</v>
      </c>
      <c r="J88" s="20" t="str">
        <f t="shared" si="3"/>
        <v>8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_1"/>
    <protectedRange password="EBC5" sqref="I36 I28:I29" name="範圍1_3_3_1_1_1_2_1_1_2_1_3"/>
    <protectedRange password="EBC5" sqref="I49:I88" name="範圍1_3_3_1_1_1_2_1_1_2_1_2"/>
    <protectedRange password="EBC5" sqref="I4:I6" name="範圍1_3_3_1_1_1_2_1_1_2_3"/>
    <protectedRange password="EBC5" sqref="I91:I92" name="範圍1_3_3_1_1_1_2_1_1_2_2_1"/>
    <protectedRange password="EBC5" sqref="I89:I90" name="範圍1_3_3_1_1_1_2_1_1_2_1_2_1"/>
    <protectedRange password="EBC5" sqref="I3 I7:I8" name="範圍1_3_3_1_1_1_2_1_1_2"/>
    <protectedRange password="EBC5" sqref="I35 I45" name="範圍1_3_3_1_1_1_2_1_1_2_1"/>
    <protectedRange password="EBC5" sqref="I39:I44" name="範圍1_3_3_1_1_1_2_1_1_2_1_1_1"/>
    <protectedRange password="EBC5" sqref="I11:I16" name="範圍1_3_3_1_1_1_2_1_1_2_2_4"/>
    <protectedRange password="EBC5" sqref="I17:I24" name="範圍1_3_3_1_1_1_2_1_1_2_2_1_1_1"/>
    <protectedRange password="EBC5" sqref="I25:I27" name="範圍1_3_3_1_1_1_2_1_1_2_2_2_1_1"/>
    <protectedRange password="EBC5" sqref="I32:I34" name="範圍1_3_3_1_1_1_2_1_1_2_4_1"/>
  </protectedRanges>
  <mergeCells count="9">
    <mergeCell ref="L56:P56"/>
    <mergeCell ref="A30:C30"/>
    <mergeCell ref="A1:C1"/>
    <mergeCell ref="A9:C9"/>
    <mergeCell ref="A47:C47"/>
    <mergeCell ref="L49:P49"/>
    <mergeCell ref="L52:P52"/>
    <mergeCell ref="L55:P55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92"/>
  <sheetViews>
    <sheetView topLeftCell="A19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389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347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461</v>
      </c>
      <c r="D32" s="63" t="s">
        <v>462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463</v>
      </c>
      <c r="K32" s="37"/>
      <c r="L32" s="37"/>
    </row>
    <row r="33" spans="1:12" s="20" customFormat="1" x14ac:dyDescent="0.3">
      <c r="A33" s="82" t="s">
        <v>51</v>
      </c>
      <c r="B33" s="32" t="s">
        <v>464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465</v>
      </c>
      <c r="K33" s="37"/>
      <c r="L33" s="37"/>
    </row>
    <row r="34" spans="1:12" s="20" customFormat="1" x14ac:dyDescent="0.3">
      <c r="A34" s="82" t="s">
        <v>466</v>
      </c>
      <c r="B34" s="32" t="s">
        <v>55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467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399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398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397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526</v>
      </c>
      <c r="G42" s="22" t="s">
        <v>37</v>
      </c>
      <c r="H42" s="21" t="s">
        <v>34</v>
      </c>
      <c r="I42" s="21" t="s">
        <v>399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21" t="s">
        <v>398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397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0x3F</v>
      </c>
      <c r="J49" s="20" t="str">
        <f>DEC2HEX(MOD(K49,256))</f>
        <v>3F</v>
      </c>
      <c r="K49" s="37">
        <f>P51-1</f>
        <v>1343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255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0x05</v>
      </c>
      <c r="J50" s="20" t="str">
        <f>DEC2HEX((K49-MOD(K49,256))/256)</f>
        <v>5</v>
      </c>
      <c r="K50" s="37"/>
      <c r="L50" s="72" t="s">
        <v>217</v>
      </c>
      <c r="M50" s="72" t="s">
        <v>218</v>
      </c>
      <c r="N50" s="72" t="s">
        <v>170</v>
      </c>
      <c r="O50" s="72" t="s">
        <v>172</v>
      </c>
      <c r="P50" s="72" t="s">
        <v>219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0x25</v>
      </c>
      <c r="J51" s="20" t="str">
        <f>DEC2HEX(MOD(K51,256))</f>
        <v>25</v>
      </c>
      <c r="K51" s="37">
        <f>P54-1</f>
        <v>805</v>
      </c>
      <c r="L51" s="73">
        <v>136</v>
      </c>
      <c r="M51" s="73">
        <v>160</v>
      </c>
      <c r="N51" s="73">
        <v>1024</v>
      </c>
      <c r="O51" s="73">
        <f>P51-N51-M51-L51</f>
        <v>24</v>
      </c>
      <c r="P51" s="73">
        <v>1344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0x03</v>
      </c>
      <c r="J52" s="20" t="str">
        <f>DEC2HEX((K51-MOD(K51,256))/256)</f>
        <v>3</v>
      </c>
      <c r="K52" s="37"/>
      <c r="L52" s="91" t="s">
        <v>220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179</v>
      </c>
      <c r="M53" s="72" t="s">
        <v>180</v>
      </c>
      <c r="N53" s="72" t="s">
        <v>181</v>
      </c>
      <c r="O53" s="72" t="s">
        <v>172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29</v>
      </c>
      <c r="N54" s="73">
        <v>768</v>
      </c>
      <c r="O54" s="73">
        <f>P54-N54-M54-L54</f>
        <v>3</v>
      </c>
      <c r="P54" s="73">
        <v>806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0x87</v>
      </c>
      <c r="J55" s="20" t="str">
        <f>DEC2HEX(MOD(K55,256))</f>
        <v>87</v>
      </c>
      <c r="K55" s="37">
        <f>L51-1</f>
        <v>135</v>
      </c>
      <c r="L55" s="91" t="s">
        <v>177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0x28</v>
      </c>
      <c r="J61" s="20" t="str">
        <f>DEC2HEX(MOD(K61,256))</f>
        <v>28</v>
      </c>
      <c r="K61" s="37">
        <f>L51+M51</f>
        <v>296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0x27</v>
      </c>
      <c r="J63" s="20" t="str">
        <f>DEC2HEX(MOD(K63,256))</f>
        <v>27</v>
      </c>
      <c r="K63" s="37">
        <f>L51+M51+N51-1</f>
        <v>1319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0x05</v>
      </c>
      <c r="J64" s="20" t="str">
        <f>DEC2HEX((K63-MOD(K63,256))/256)</f>
        <v>5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0x23</v>
      </c>
      <c r="J65" s="20" t="str">
        <f>DEC2HEX(MOD(K65,256))</f>
        <v>23</v>
      </c>
      <c r="K65" s="37">
        <f>L54+M54</f>
        <v>35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0x22</v>
      </c>
      <c r="J67" s="20" t="str">
        <f>DEC2HEX(MOD(K67,256))</f>
        <v>22</v>
      </c>
      <c r="K67" s="37">
        <f>L54+M54+N54-1</f>
        <v>802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0x03</v>
      </c>
      <c r="J68" s="20" t="str">
        <f>DEC2HEX((K67-MOD(K67,256))/256)</f>
        <v>3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314</v>
      </c>
      <c r="G69" s="22" t="s">
        <v>37</v>
      </c>
      <c r="H69" s="21" t="s">
        <v>34</v>
      </c>
      <c r="I69" s="21" t="str">
        <f t="shared" si="0"/>
        <v>0x28</v>
      </c>
      <c r="J69" s="20" t="str">
        <f>J61</f>
        <v>28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0x27</v>
      </c>
      <c r="J71" s="20" t="str">
        <f t="shared" si="1"/>
        <v>27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0x05</v>
      </c>
      <c r="J72" s="20" t="str">
        <f t="shared" si="1"/>
        <v>5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0x23</v>
      </c>
      <c r="J73" s="20" t="str">
        <f t="shared" si="1"/>
        <v>23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0x22</v>
      </c>
      <c r="J75" s="20" t="str">
        <f t="shared" si="1"/>
        <v>22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0x03</v>
      </c>
      <c r="J76" s="20" t="str">
        <f t="shared" si="1"/>
        <v>3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0x87</v>
      </c>
      <c r="J79" s="20" t="str">
        <f t="shared" si="2"/>
        <v>87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0x28</v>
      </c>
      <c r="J81" s="20" t="str">
        <f>J61</f>
        <v>28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0x27</v>
      </c>
      <c r="J83" s="20" t="str">
        <f t="shared" si="3"/>
        <v>27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0x05</v>
      </c>
      <c r="J84" s="20" t="str">
        <f t="shared" si="3"/>
        <v>5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0x23</v>
      </c>
      <c r="J85" s="20" t="str">
        <f t="shared" si="3"/>
        <v>23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0x22</v>
      </c>
      <c r="J87" s="20" t="str">
        <f t="shared" si="3"/>
        <v>22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296</v>
      </c>
      <c r="G88" s="24" t="s">
        <v>39</v>
      </c>
      <c r="H88" s="21" t="s">
        <v>34</v>
      </c>
      <c r="I88" s="21" t="str">
        <f t="shared" si="0"/>
        <v>0x03</v>
      </c>
      <c r="J88" s="20" t="str">
        <f t="shared" si="3"/>
        <v>3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"/>
    <protectedRange password="EBC5" sqref="I3 I7:I8" name="範圍1_3_3_1_1_1_2_1_1_2"/>
    <protectedRange password="EBC5" sqref="I35 I39:I45" name="範圍1_3_3_1_1_1_2_1_1_2_2"/>
    <protectedRange password="EBC5" sqref="I11:I16" name="範圍1_3_3_1_1_1_2_1_1_2_2_4"/>
    <protectedRange password="EBC5" sqref="I17:I24" name="範圍1_3_3_1_1_1_2_1_1_2_2_1_1_1"/>
    <protectedRange password="EBC5" sqref="I25:I27" name="範圍1_3_3_1_1_1_2_1_1_2_2_2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92"/>
  <sheetViews>
    <sheetView topLeftCell="A25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162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457</v>
      </c>
      <c r="K32" s="37"/>
      <c r="L32" s="37"/>
    </row>
    <row r="33" spans="1:12" s="20" customFormat="1" x14ac:dyDescent="0.3">
      <c r="A33" s="82" t="s">
        <v>51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458</v>
      </c>
      <c r="K33" s="37"/>
      <c r="L33" s="37"/>
    </row>
    <row r="34" spans="1:12" s="20" customFormat="1" x14ac:dyDescent="0.3">
      <c r="A34" s="82" t="s">
        <v>459</v>
      </c>
      <c r="B34" s="32" t="s">
        <v>419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460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391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392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393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391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392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84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0x8F</v>
      </c>
      <c r="J49" s="20" t="str">
        <f>DEC2HEX(MOD(K49,256))</f>
        <v>8F</v>
      </c>
      <c r="K49" s="37">
        <f>P51-1</f>
        <v>1679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254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0x06</v>
      </c>
      <c r="J50" s="20" t="str">
        <f>DEC2HEX((K49-MOD(K49,256))/256)</f>
        <v>6</v>
      </c>
      <c r="K50" s="37"/>
      <c r="L50" s="72" t="s">
        <v>227</v>
      </c>
      <c r="M50" s="72" t="s">
        <v>169</v>
      </c>
      <c r="N50" s="72" t="s">
        <v>171</v>
      </c>
      <c r="O50" s="72" t="s">
        <v>173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0x3E</v>
      </c>
      <c r="J51" s="20" t="str">
        <f>DEC2HEX(MOD(K51,256))</f>
        <v>3E</v>
      </c>
      <c r="K51" s="37">
        <f>P54-1</f>
        <v>830</v>
      </c>
      <c r="L51" s="73">
        <v>128</v>
      </c>
      <c r="M51" s="73">
        <v>200</v>
      </c>
      <c r="N51" s="73">
        <v>1280</v>
      </c>
      <c r="O51" s="73">
        <f>P51-N51-M51-L51</f>
        <v>72</v>
      </c>
      <c r="P51" s="73">
        <v>1680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0x03</v>
      </c>
      <c r="J52" s="20" t="str">
        <f>DEC2HEX((K51-MOD(K51,256))/256)</f>
        <v>3</v>
      </c>
      <c r="K52" s="37"/>
      <c r="L52" s="91" t="s">
        <v>228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227</v>
      </c>
      <c r="M53" s="72" t="s">
        <v>169</v>
      </c>
      <c r="N53" s="72" t="s">
        <v>229</v>
      </c>
      <c r="O53" s="72" t="s">
        <v>183</v>
      </c>
      <c r="P53" s="72" t="s">
        <v>211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22</v>
      </c>
      <c r="N54" s="73">
        <v>800</v>
      </c>
      <c r="O54" s="73">
        <f>P54-N54-M54-L54</f>
        <v>3</v>
      </c>
      <c r="P54" s="73">
        <v>831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0x7F</v>
      </c>
      <c r="J55" s="20" t="str">
        <f>DEC2HEX(MOD(K55,256))</f>
        <v>7F</v>
      </c>
      <c r="K55" s="37">
        <f>L51-1</f>
        <v>127</v>
      </c>
      <c r="L55" s="91" t="s">
        <v>184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0x48</v>
      </c>
      <c r="J61" s="20" t="str">
        <f>DEC2HEX(MOD(K61,256))</f>
        <v>48</v>
      </c>
      <c r="K61" s="37">
        <f>L51+M51</f>
        <v>328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0x47</v>
      </c>
      <c r="J63" s="20" t="str">
        <f>DEC2HEX(MOD(K63,256))</f>
        <v>47</v>
      </c>
      <c r="K63" s="37">
        <f>L51+M51+N51-1</f>
        <v>1607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0x1C</v>
      </c>
      <c r="J65" s="20" t="str">
        <f>DEC2HEX(MOD(K65,256))</f>
        <v>1C</v>
      </c>
      <c r="K65" s="37">
        <f>L54+M54</f>
        <v>28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0x3B</v>
      </c>
      <c r="J67" s="20" t="str">
        <f>DEC2HEX(MOD(K67,256))</f>
        <v>3B</v>
      </c>
      <c r="K67" s="37">
        <f>L54+M54+N54-1</f>
        <v>827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321</v>
      </c>
      <c r="G68" s="24" t="s">
        <v>39</v>
      </c>
      <c r="H68" s="21" t="s">
        <v>34</v>
      </c>
      <c r="I68" s="21" t="str">
        <f t="shared" si="0"/>
        <v>0x03</v>
      </c>
      <c r="J68" s="20" t="str">
        <f>DEC2HEX((K67-MOD(K67,256))/256)</f>
        <v>3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311</v>
      </c>
      <c r="G69" s="22" t="s">
        <v>37</v>
      </c>
      <c r="H69" s="21" t="s">
        <v>34</v>
      </c>
      <c r="I69" s="21" t="str">
        <f t="shared" si="0"/>
        <v>0x48</v>
      </c>
      <c r="J69" s="20" t="str">
        <f>J61</f>
        <v>48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0x47</v>
      </c>
      <c r="J71" s="20" t="str">
        <f t="shared" si="1"/>
        <v>47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0x1C</v>
      </c>
      <c r="J73" s="20" t="str">
        <f t="shared" si="1"/>
        <v>1C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0x3B</v>
      </c>
      <c r="J75" s="20" t="str">
        <f t="shared" si="1"/>
        <v>3B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0x03</v>
      </c>
      <c r="J76" s="20" t="str">
        <f t="shared" si="1"/>
        <v>3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0x7F</v>
      </c>
      <c r="J79" s="20" t="str">
        <f t="shared" si="2"/>
        <v>7F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0x48</v>
      </c>
      <c r="J81" s="20" t="str">
        <f>J61</f>
        <v>48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0x47</v>
      </c>
      <c r="J83" s="20" t="str">
        <f t="shared" si="3"/>
        <v>47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0x1C</v>
      </c>
      <c r="J85" s="20" t="str">
        <f t="shared" si="3"/>
        <v>1C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0x3B</v>
      </c>
      <c r="J87" s="20" t="str">
        <f t="shared" si="3"/>
        <v>3B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296</v>
      </c>
      <c r="G88" s="24" t="s">
        <v>39</v>
      </c>
      <c r="H88" s="21" t="s">
        <v>34</v>
      </c>
      <c r="I88" s="21" t="str">
        <f t="shared" si="0"/>
        <v>0x03</v>
      </c>
      <c r="J88" s="20" t="str">
        <f t="shared" si="3"/>
        <v>3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"/>
    <protectedRange password="EBC5" sqref="I4:I6" name="範圍1_3_3_1_1_1_2_1_1_2_1"/>
    <protectedRange password="EBC5" sqref="I91:I92" name="範圍1_3_3_1_1_1_2_1_1_2_2_2"/>
    <protectedRange password="EBC5" sqref="I89:I90" name="範圍1_3_3_1_1_1_2_1_1_2_1_2_1"/>
    <protectedRange password="EBC5" sqref="I3 I7:I8" name="範圍1_3_3_1_1_1_2_1_1_2"/>
    <protectedRange password="EBC5" sqref="I35 I39:I45" name="範圍1_3_3_1_1_1_2_1_1_2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92"/>
  <sheetViews>
    <sheetView topLeftCell="A25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346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451</v>
      </c>
      <c r="B32" s="62" t="s">
        <v>53</v>
      </c>
      <c r="C32" s="62" t="s">
        <v>452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453</v>
      </c>
      <c r="K32" s="37"/>
      <c r="L32" s="37"/>
    </row>
    <row r="33" spans="1:12" s="20" customFormat="1" x14ac:dyDescent="0.3">
      <c r="A33" s="82" t="s">
        <v>51</v>
      </c>
      <c r="B33" s="32" t="s">
        <v>454</v>
      </c>
      <c r="C33" s="32" t="s">
        <v>52</v>
      </c>
      <c r="D33" s="21" t="s">
        <v>455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453</v>
      </c>
      <c r="K33" s="37"/>
      <c r="L33" s="37"/>
    </row>
    <row r="34" spans="1:12" s="20" customFormat="1" x14ac:dyDescent="0.3">
      <c r="A34" s="82" t="s">
        <v>451</v>
      </c>
      <c r="B34" s="32" t="s">
        <v>55</v>
      </c>
      <c r="C34" s="32" t="s">
        <v>452</v>
      </c>
      <c r="D34" s="21" t="s">
        <v>455</v>
      </c>
      <c r="E34" s="21" t="s">
        <v>36</v>
      </c>
      <c r="F34" s="21" t="s">
        <v>456</v>
      </c>
      <c r="G34" s="22" t="s">
        <v>37</v>
      </c>
      <c r="H34" s="21" t="s">
        <v>34</v>
      </c>
      <c r="I34" s="86" t="s">
        <v>44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396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395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394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396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455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389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455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160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0x97</v>
      </c>
      <c r="J49" s="20" t="str">
        <f>DEC2HEX(MOD(K49,256))</f>
        <v>97</v>
      </c>
      <c r="K49" s="37">
        <f>P51-1</f>
        <v>1687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254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0x06</v>
      </c>
      <c r="J50" s="20" t="str">
        <f>DEC2HEX((K49-MOD(K49,256))/256)</f>
        <v>6</v>
      </c>
      <c r="K50" s="37"/>
      <c r="L50" s="72" t="s">
        <v>294</v>
      </c>
      <c r="M50" s="72" t="s">
        <v>260</v>
      </c>
      <c r="N50" s="72" t="s">
        <v>261</v>
      </c>
      <c r="O50" s="72" t="s">
        <v>293</v>
      </c>
      <c r="P50" s="72" t="s">
        <v>264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0x29</v>
      </c>
      <c r="J51" s="20" t="str">
        <f>DEC2HEX(MOD(K51,256))</f>
        <v>29</v>
      </c>
      <c r="K51" s="37">
        <f>P54-1</f>
        <v>1065</v>
      </c>
      <c r="L51" s="73">
        <v>112</v>
      </c>
      <c r="M51" s="73">
        <v>248</v>
      </c>
      <c r="N51" s="73">
        <v>1280</v>
      </c>
      <c r="O51" s="73">
        <f>P51-N51-M51-L51</f>
        <v>48</v>
      </c>
      <c r="P51" s="73">
        <v>1688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265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259</v>
      </c>
      <c r="M53" s="72" t="s">
        <v>292</v>
      </c>
      <c r="N53" s="72" t="s">
        <v>261</v>
      </c>
      <c r="O53" s="72" t="s">
        <v>263</v>
      </c>
      <c r="P53" s="72" t="s">
        <v>278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3</v>
      </c>
      <c r="M54" s="73">
        <v>38</v>
      </c>
      <c r="N54" s="73">
        <v>1024</v>
      </c>
      <c r="O54" s="73">
        <f>P54-N54-M54-L54</f>
        <v>1</v>
      </c>
      <c r="P54" s="73">
        <v>1066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0x6F</v>
      </c>
      <c r="J55" s="20" t="str">
        <f>DEC2HEX(MOD(K55,256))</f>
        <v>6F</v>
      </c>
      <c r="K55" s="37">
        <f>L51-1</f>
        <v>111</v>
      </c>
      <c r="L55" s="91" t="s">
        <v>268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0x02</v>
      </c>
      <c r="J59" s="20" t="str">
        <f>DEC2HEX(MOD(K59,256))</f>
        <v>2</v>
      </c>
      <c r="K59" s="37">
        <f>L54-1</f>
        <v>2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0x68</v>
      </c>
      <c r="J61" s="20" t="str">
        <f>DEC2HEX(MOD(K61,256))</f>
        <v>68</v>
      </c>
      <c r="K61" s="37">
        <f>L51+M51</f>
        <v>360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0x67</v>
      </c>
      <c r="J63" s="20" t="str">
        <f>DEC2HEX(MOD(K63,256))</f>
        <v>67</v>
      </c>
      <c r="K63" s="37">
        <f>L51+M51+N51-1</f>
        <v>1639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0x29</v>
      </c>
      <c r="J65" s="20" t="str">
        <f>DEC2HEX(MOD(K65,256))</f>
        <v>29</v>
      </c>
      <c r="K65" s="37">
        <f>L54+M54</f>
        <v>41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0x28</v>
      </c>
      <c r="J67" s="20" t="str">
        <f>DEC2HEX(MOD(K67,256))</f>
        <v>28</v>
      </c>
      <c r="K67" s="37">
        <f>L54+M54+N54-1</f>
        <v>1064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0x68</v>
      </c>
      <c r="J69" s="20" t="str">
        <f>J61</f>
        <v>68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0x67</v>
      </c>
      <c r="J71" s="20" t="str">
        <f t="shared" si="1"/>
        <v>67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0x29</v>
      </c>
      <c r="J73" s="20" t="str">
        <f t="shared" si="1"/>
        <v>29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0x28</v>
      </c>
      <c r="J75" s="20" t="str">
        <f t="shared" si="1"/>
        <v>28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0x6F</v>
      </c>
      <c r="J79" s="20" t="str">
        <f t="shared" si="2"/>
        <v>6F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0x68</v>
      </c>
      <c r="J81" s="20" t="str">
        <f>J61</f>
        <v>68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0x67</v>
      </c>
      <c r="J83" s="20" t="str">
        <f t="shared" si="3"/>
        <v>67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0x29</v>
      </c>
      <c r="J85" s="20" t="str">
        <f t="shared" si="3"/>
        <v>29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297</v>
      </c>
      <c r="G87" s="22" t="s">
        <v>37</v>
      </c>
      <c r="H87" s="21" t="s">
        <v>34</v>
      </c>
      <c r="I87" s="21" t="str">
        <f t="shared" si="0"/>
        <v>0x28</v>
      </c>
      <c r="J87" s="20" t="str">
        <f t="shared" si="3"/>
        <v>28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298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"/>
    <protectedRange password="EBC5" sqref="I4:I6" name="範圍1_3_3_1_1_1_2_1_1_2_1"/>
    <protectedRange password="EBC5" sqref="I91:I92" name="範圍1_3_3_1_1_1_2_1_1_2_2_3"/>
    <protectedRange password="EBC5" sqref="I89:I90" name="範圍1_3_3_1_1_1_2_1_1_2_1_2_1"/>
    <protectedRange password="EBC5" sqref="I3 I7:I8" name="範圍1_3_3_1_1_1_2_1_1_2"/>
    <protectedRange password="EBC5" sqref="I35 I39:I45" name="範圍1_3_3_1_1_1_2_1_1_2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92"/>
  <sheetViews>
    <sheetView topLeftCell="A25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444</v>
      </c>
      <c r="C32" s="62" t="s">
        <v>438</v>
      </c>
      <c r="D32" s="63" t="s">
        <v>442</v>
      </c>
      <c r="E32" s="63" t="s">
        <v>36</v>
      </c>
      <c r="F32" s="63" t="s">
        <v>445</v>
      </c>
      <c r="G32" s="84" t="s">
        <v>37</v>
      </c>
      <c r="H32" s="63" t="s">
        <v>34</v>
      </c>
      <c r="I32" s="85" t="s">
        <v>446</v>
      </c>
      <c r="K32" s="37"/>
      <c r="L32" s="37"/>
    </row>
    <row r="33" spans="1:12" s="20" customFormat="1" x14ac:dyDescent="0.3">
      <c r="A33" s="82" t="s">
        <v>51</v>
      </c>
      <c r="B33" s="32" t="s">
        <v>447</v>
      </c>
      <c r="C33" s="32" t="s">
        <v>52</v>
      </c>
      <c r="D33" s="21" t="s">
        <v>139</v>
      </c>
      <c r="E33" s="21" t="s">
        <v>36</v>
      </c>
      <c r="F33" s="21" t="s">
        <v>445</v>
      </c>
      <c r="G33" s="24" t="s">
        <v>39</v>
      </c>
      <c r="H33" s="21" t="s">
        <v>34</v>
      </c>
      <c r="I33" s="86" t="s">
        <v>448</v>
      </c>
      <c r="K33" s="37"/>
      <c r="L33" s="37"/>
    </row>
    <row r="34" spans="1:12" s="20" customFormat="1" x14ac:dyDescent="0.3">
      <c r="A34" s="82" t="s">
        <v>436</v>
      </c>
      <c r="B34" s="32" t="s">
        <v>441</v>
      </c>
      <c r="C34" s="32" t="s">
        <v>449</v>
      </c>
      <c r="D34" s="21" t="s">
        <v>442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450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402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401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400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442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402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401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442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400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167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0xFF</v>
      </c>
      <c r="J49" s="20" t="str">
        <f>DEC2HEX(MOD(K49,256))</f>
        <v>FF</v>
      </c>
      <c r="K49" s="37">
        <f>P51-1</f>
        <v>1791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0x06</v>
      </c>
      <c r="J50" s="20" t="str">
        <f>DEC2HEX((K49-MOD(K49,256))/256)</f>
        <v>6</v>
      </c>
      <c r="K50" s="37"/>
      <c r="L50" s="72" t="s">
        <v>168</v>
      </c>
      <c r="M50" s="72" t="s">
        <v>169</v>
      </c>
      <c r="N50" s="72" t="s">
        <v>170</v>
      </c>
      <c r="O50" s="72" t="s">
        <v>221</v>
      </c>
      <c r="P50" s="72" t="s">
        <v>222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254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0x1D</v>
      </c>
      <c r="J51" s="20" t="str">
        <f>DEC2HEX(MOD(K51,256))</f>
        <v>1D</v>
      </c>
      <c r="K51" s="37">
        <f>P54-1</f>
        <v>797</v>
      </c>
      <c r="L51" s="73">
        <v>143</v>
      </c>
      <c r="M51" s="73">
        <v>215</v>
      </c>
      <c r="N51" s="73">
        <v>1366</v>
      </c>
      <c r="O51" s="73">
        <f>P51-N51-M51-L51</f>
        <v>68</v>
      </c>
      <c r="P51" s="73">
        <v>1792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0x03</v>
      </c>
      <c r="J52" s="20" t="str">
        <f>DEC2HEX((K51-MOD(K51,256))/256)</f>
        <v>3</v>
      </c>
      <c r="K52" s="37"/>
      <c r="L52" s="91" t="s">
        <v>223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224</v>
      </c>
      <c r="M53" s="72" t="s">
        <v>169</v>
      </c>
      <c r="N53" s="72" t="s">
        <v>225</v>
      </c>
      <c r="O53" s="72" t="s">
        <v>172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3</v>
      </c>
      <c r="M54" s="73">
        <v>24</v>
      </c>
      <c r="N54" s="73">
        <v>768</v>
      </c>
      <c r="O54" s="73">
        <f>P54-N54-M54-L54</f>
        <v>3</v>
      </c>
      <c r="P54" s="73">
        <v>798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0x8E</v>
      </c>
      <c r="J55" s="20" t="str">
        <f>DEC2HEX(MOD(K55,256))</f>
        <v>8E</v>
      </c>
      <c r="K55" s="37">
        <f>L51-1</f>
        <v>142</v>
      </c>
      <c r="L55" s="91" t="s">
        <v>178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0x02</v>
      </c>
      <c r="J59" s="20" t="str">
        <f>DEC2HEX(MOD(K59,256))</f>
        <v>2</v>
      </c>
      <c r="K59" s="37">
        <f>L54-1</f>
        <v>2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0x66</v>
      </c>
      <c r="J61" s="20" t="str">
        <f>DEC2HEX(MOD(K61,256))</f>
        <v>66</v>
      </c>
      <c r="K61" s="37">
        <f>L51+M51</f>
        <v>358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0xBB</v>
      </c>
      <c r="J63" s="20" t="str">
        <f>DEC2HEX(MOD(K63,256))</f>
        <v>BB</v>
      </c>
      <c r="K63" s="37">
        <f>L51+M51+N51-1</f>
        <v>1723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0x06</v>
      </c>
      <c r="J64" s="20" t="str">
        <f>DEC2HEX((K63-MOD(K63,256))/256)</f>
        <v>6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0x1B</v>
      </c>
      <c r="J65" s="20" t="str">
        <f>DEC2HEX(MOD(K65,256))</f>
        <v>1B</v>
      </c>
      <c r="K65" s="37">
        <f>L54+M54</f>
        <v>27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0x1A</v>
      </c>
      <c r="J67" s="20" t="str">
        <f>DEC2HEX(MOD(K67,256))</f>
        <v>1A</v>
      </c>
      <c r="K67" s="37">
        <f>L54+M54+N54-1</f>
        <v>794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321</v>
      </c>
      <c r="G68" s="24" t="s">
        <v>39</v>
      </c>
      <c r="H68" s="21" t="s">
        <v>34</v>
      </c>
      <c r="I68" s="21" t="str">
        <f t="shared" si="0"/>
        <v>0x03</v>
      </c>
      <c r="J68" s="20" t="str">
        <f>DEC2HEX((K67-MOD(K67,256))/256)</f>
        <v>3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0x66</v>
      </c>
      <c r="J69" s="20" t="str">
        <f>J61</f>
        <v>66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0xBB</v>
      </c>
      <c r="J71" s="20" t="str">
        <f t="shared" si="1"/>
        <v>BB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0x06</v>
      </c>
      <c r="J72" s="20" t="str">
        <f t="shared" si="1"/>
        <v>6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0x1B</v>
      </c>
      <c r="J73" s="20" t="str">
        <f t="shared" si="1"/>
        <v>1B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0x1A</v>
      </c>
      <c r="J75" s="20" t="str">
        <f t="shared" si="1"/>
        <v>1A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0x03</v>
      </c>
      <c r="J76" s="20" t="str">
        <f t="shared" si="1"/>
        <v>3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0x8E</v>
      </c>
      <c r="J79" s="20" t="str">
        <f t="shared" si="2"/>
        <v>8E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0x66</v>
      </c>
      <c r="J81" s="20" t="str">
        <f>J61</f>
        <v>66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0xBB</v>
      </c>
      <c r="J83" s="20" t="str">
        <f t="shared" si="3"/>
        <v>BB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0x06</v>
      </c>
      <c r="J84" s="20" t="str">
        <f t="shared" si="3"/>
        <v>6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0x1B</v>
      </c>
      <c r="J85" s="20" t="str">
        <f t="shared" si="3"/>
        <v>1B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0x1A</v>
      </c>
      <c r="J87" s="20" t="str">
        <f t="shared" si="3"/>
        <v>1A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296</v>
      </c>
      <c r="G88" s="24" t="s">
        <v>39</v>
      </c>
      <c r="H88" s="21" t="s">
        <v>34</v>
      </c>
      <c r="I88" s="21" t="str">
        <f t="shared" si="0"/>
        <v>0x03</v>
      </c>
      <c r="J88" s="20" t="str">
        <f t="shared" si="3"/>
        <v>3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_1"/>
    <protectedRange password="EBC5" sqref="I4:I6" name="範圍1_3_3_1_1_1_2_1_1_2_1"/>
    <protectedRange password="EBC5" sqref="I91:I92" name="範圍1_3_3_1_1_1_2_1_1_2_2_3"/>
    <protectedRange password="EBC5" sqref="I89:I90" name="範圍1_3_3_1_1_1_2_1_1_2_1_2"/>
    <protectedRange password="EBC5" sqref="I3 I7:I8" name="範圍1_3_3_1_1_1_2_1_1_2"/>
    <protectedRange password="EBC5" sqref="I35 I39:I45" name="範圍1_3_3_1_1_1_2_1_1_2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92"/>
  <sheetViews>
    <sheetView topLeftCell="A22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343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435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428</v>
      </c>
      <c r="K32" s="37"/>
      <c r="L32" s="37"/>
    </row>
    <row r="33" spans="1:12" s="20" customFormat="1" x14ac:dyDescent="0.3">
      <c r="A33" s="82" t="s">
        <v>436</v>
      </c>
      <c r="B33" s="32" t="s">
        <v>437</v>
      </c>
      <c r="C33" s="32" t="s">
        <v>438</v>
      </c>
      <c r="D33" s="21" t="s">
        <v>139</v>
      </c>
      <c r="E33" s="21" t="s">
        <v>36</v>
      </c>
      <c r="F33" s="21" t="s">
        <v>56</v>
      </c>
      <c r="G33" s="24" t="s">
        <v>439</v>
      </c>
      <c r="H33" s="21" t="s">
        <v>34</v>
      </c>
      <c r="I33" s="86" t="s">
        <v>440</v>
      </c>
      <c r="K33" s="37"/>
      <c r="L33" s="37"/>
    </row>
    <row r="34" spans="1:12" s="20" customFormat="1" x14ac:dyDescent="0.3">
      <c r="A34" s="82" t="s">
        <v>436</v>
      </c>
      <c r="B34" s="32" t="s">
        <v>441</v>
      </c>
      <c r="C34" s="32" t="s">
        <v>52</v>
      </c>
      <c r="D34" s="21" t="s">
        <v>442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443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405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404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342</v>
      </c>
      <c r="G41" s="22" t="s">
        <v>37</v>
      </c>
      <c r="H41" s="21" t="s">
        <v>34</v>
      </c>
      <c r="I41" s="21" t="s">
        <v>403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435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405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404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442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403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254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0x6F</v>
      </c>
      <c r="J49" s="20" t="str">
        <f>DEC2HEX(MOD(K49,256))</f>
        <v>6F</v>
      </c>
      <c r="K49" s="37">
        <f>P51-1</f>
        <v>1903</v>
      </c>
      <c r="L49" s="91" t="s">
        <v>39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0x07</v>
      </c>
      <c r="J50" s="20" t="str">
        <f>DEC2HEX((K49-MOD(K49,256))/256)</f>
        <v>7</v>
      </c>
      <c r="K50" s="37"/>
      <c r="L50" s="72" t="s">
        <v>168</v>
      </c>
      <c r="M50" s="72" t="s">
        <v>169</v>
      </c>
      <c r="N50" s="72" t="s">
        <v>170</v>
      </c>
      <c r="O50" s="72" t="s">
        <v>172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256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0xA5</v>
      </c>
      <c r="J51" s="20" t="str">
        <f>DEC2HEX(MOD(K51,256))</f>
        <v>A5</v>
      </c>
      <c r="K51" s="37">
        <f>P54-1</f>
        <v>933</v>
      </c>
      <c r="L51" s="73">
        <v>152</v>
      </c>
      <c r="M51" s="73">
        <v>232</v>
      </c>
      <c r="N51" s="73">
        <v>1440</v>
      </c>
      <c r="O51" s="73">
        <f>P51-N51-M51-L51</f>
        <v>80</v>
      </c>
      <c r="P51" s="73">
        <v>1904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0x03</v>
      </c>
      <c r="J52" s="20" t="str">
        <f>DEC2HEX((K51-MOD(K51,256))/256)</f>
        <v>3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226</v>
      </c>
      <c r="M53" s="72" t="s">
        <v>169</v>
      </c>
      <c r="N53" s="72" t="s">
        <v>170</v>
      </c>
      <c r="O53" s="72" t="s">
        <v>183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25</v>
      </c>
      <c r="N54" s="73">
        <v>900</v>
      </c>
      <c r="O54" s="73">
        <f>P54-N54-M54-L54</f>
        <v>3</v>
      </c>
      <c r="P54" s="73">
        <v>934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0x97</v>
      </c>
      <c r="J55" s="20" t="str">
        <f>DEC2HEX(MOD(K55,256))</f>
        <v>97</v>
      </c>
      <c r="K55" s="37">
        <f>L51-1</f>
        <v>151</v>
      </c>
      <c r="L55" s="91" t="s">
        <v>177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0x80</v>
      </c>
      <c r="J61" s="20" t="str">
        <f>DEC2HEX(MOD(K61,256))</f>
        <v>80</v>
      </c>
      <c r="K61" s="37">
        <f>L51+M51</f>
        <v>384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0x1F</v>
      </c>
      <c r="J63" s="20" t="str">
        <f>DEC2HEX(MOD(K63,256))</f>
        <v>1F</v>
      </c>
      <c r="K63" s="37">
        <f>L51+M51+N51-1</f>
        <v>1823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0x07</v>
      </c>
      <c r="J64" s="20" t="str">
        <f>DEC2HEX((K63-MOD(K63,256))/256)</f>
        <v>7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0x1F</v>
      </c>
      <c r="J65" s="20" t="str">
        <f>DEC2HEX(MOD(K65,256))</f>
        <v>1F</v>
      </c>
      <c r="K65" s="37">
        <f>L54+M54</f>
        <v>31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318</v>
      </c>
      <c r="G67" s="22" t="s">
        <v>37</v>
      </c>
      <c r="H67" s="21" t="s">
        <v>34</v>
      </c>
      <c r="I67" s="21" t="str">
        <f t="shared" si="0"/>
        <v>0xA2</v>
      </c>
      <c r="J67" s="20" t="str">
        <f>DEC2HEX(MOD(K67,256))</f>
        <v>A2</v>
      </c>
      <c r="K67" s="37">
        <f>L54+M54+N54-1</f>
        <v>930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0x03</v>
      </c>
      <c r="J68" s="20" t="str">
        <f>DEC2HEX((K67-MOD(K67,256))/256)</f>
        <v>3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0x80</v>
      </c>
      <c r="J69" s="20" t="str">
        <f>J61</f>
        <v>80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310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0x1F</v>
      </c>
      <c r="J71" s="20" t="str">
        <f t="shared" si="1"/>
        <v>1F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0x07</v>
      </c>
      <c r="J72" s="20" t="str">
        <f t="shared" si="1"/>
        <v>7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301</v>
      </c>
      <c r="G73" s="22" t="s">
        <v>37</v>
      </c>
      <c r="H73" s="21" t="s">
        <v>34</v>
      </c>
      <c r="I73" s="21" t="str">
        <f t="shared" si="0"/>
        <v>0x1F</v>
      </c>
      <c r="J73" s="20" t="str">
        <f t="shared" si="1"/>
        <v>1F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160</v>
      </c>
      <c r="G75" s="22" t="s">
        <v>37</v>
      </c>
      <c r="H75" s="21" t="s">
        <v>34</v>
      </c>
      <c r="I75" s="21" t="str">
        <f t="shared" si="0"/>
        <v>0xA2</v>
      </c>
      <c r="J75" s="20" t="str">
        <f t="shared" si="1"/>
        <v>A2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0x03</v>
      </c>
      <c r="J76" s="20" t="str">
        <f t="shared" si="1"/>
        <v>3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0x97</v>
      </c>
      <c r="J79" s="20" t="str">
        <f t="shared" si="2"/>
        <v>97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0x80</v>
      </c>
      <c r="J81" s="20" t="str">
        <f>J61</f>
        <v>80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0x1F</v>
      </c>
      <c r="J83" s="20" t="str">
        <f t="shared" si="3"/>
        <v>1F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0x07</v>
      </c>
      <c r="J84" s="20" t="str">
        <f t="shared" si="3"/>
        <v>7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0x1F</v>
      </c>
      <c r="J85" s="20" t="str">
        <f t="shared" si="3"/>
        <v>1F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297</v>
      </c>
      <c r="G87" s="22" t="s">
        <v>37</v>
      </c>
      <c r="H87" s="21" t="s">
        <v>34</v>
      </c>
      <c r="I87" s="21" t="str">
        <f t="shared" si="0"/>
        <v>0xA2</v>
      </c>
      <c r="J87" s="20" t="str">
        <f t="shared" si="3"/>
        <v>A2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0x03</v>
      </c>
      <c r="J88" s="20" t="str">
        <f t="shared" si="3"/>
        <v>3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"/>
    <protectedRange password="EBC5" sqref="I4:I6" name="範圍1_3_3_1_1_1_2_1_1_2_1"/>
    <protectedRange password="EBC5" sqref="I91:I92" name="範圍1_3_3_1_1_1_2_1_1_2_2_2"/>
    <protectedRange password="EBC5" sqref="I89:I90" name="範圍1_3_3_1_1_1_2_1_1_2_1_2_1"/>
    <protectedRange password="EBC5" sqref="I3 I7:I8" name="範圍1_3_3_1_1_1_2_1_1_2"/>
    <protectedRange password="EBC5" sqref="I35 I39:I45" name="範圍1_3_3_1_1_1_2_1_1_2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92"/>
  <sheetViews>
    <sheetView topLeftCell="A28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325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163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390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51</v>
      </c>
      <c r="B32" s="62" t="s">
        <v>53</v>
      </c>
      <c r="C32" s="62" t="s">
        <v>52</v>
      </c>
      <c r="D32" s="63" t="s">
        <v>139</v>
      </c>
      <c r="E32" s="63" t="s">
        <v>36</v>
      </c>
      <c r="F32" s="63" t="s">
        <v>56</v>
      </c>
      <c r="G32" s="84" t="s">
        <v>37</v>
      </c>
      <c r="H32" s="63" t="s">
        <v>34</v>
      </c>
      <c r="I32" s="85" t="s">
        <v>525</v>
      </c>
      <c r="K32" s="37"/>
      <c r="L32" s="37"/>
    </row>
    <row r="33" spans="1:12" s="20" customFormat="1" x14ac:dyDescent="0.3">
      <c r="A33" s="82" t="s">
        <v>51</v>
      </c>
      <c r="B33" s="32" t="s">
        <v>429</v>
      </c>
      <c r="C33" s="32" t="s">
        <v>430</v>
      </c>
      <c r="D33" s="21" t="s">
        <v>431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407</v>
      </c>
      <c r="K33" s="37"/>
      <c r="L33" s="37"/>
    </row>
    <row r="34" spans="1:12" s="20" customFormat="1" x14ac:dyDescent="0.3">
      <c r="A34" s="82" t="s">
        <v>432</v>
      </c>
      <c r="B34" s="32" t="s">
        <v>55</v>
      </c>
      <c r="C34" s="32" t="s">
        <v>433</v>
      </c>
      <c r="D34" s="21" t="s">
        <v>139</v>
      </c>
      <c r="E34" s="21" t="s">
        <v>36</v>
      </c>
      <c r="F34" s="21" t="s">
        <v>434</v>
      </c>
      <c r="G34" s="22" t="s">
        <v>37</v>
      </c>
      <c r="H34" s="21" t="s">
        <v>34</v>
      </c>
      <c r="I34" s="86" t="s">
        <v>100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337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408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407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406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526</v>
      </c>
      <c r="G42" s="22" t="s">
        <v>37</v>
      </c>
      <c r="H42" s="21" t="s">
        <v>34</v>
      </c>
      <c r="I42" s="21" t="s">
        <v>408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431</v>
      </c>
      <c r="E43" s="21" t="s">
        <v>36</v>
      </c>
      <c r="F43" s="21" t="s">
        <v>526</v>
      </c>
      <c r="G43" s="24" t="s">
        <v>39</v>
      </c>
      <c r="H43" s="21" t="s">
        <v>34</v>
      </c>
      <c r="I43" s="21" t="s">
        <v>407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406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253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0xBF</v>
      </c>
      <c r="J49" s="20" t="str">
        <f>DEC2HEX(MOD(K49,256))</f>
        <v>BF</v>
      </c>
      <c r="K49" s="37">
        <f>P51-1</f>
        <v>2239</v>
      </c>
      <c r="L49" s="91" t="s">
        <v>213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179</v>
      </c>
      <c r="M50" s="72" t="s">
        <v>180</v>
      </c>
      <c r="N50" s="72" t="s">
        <v>181</v>
      </c>
      <c r="O50" s="72" t="s">
        <v>183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256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0x40</v>
      </c>
      <c r="J51" s="20" t="str">
        <f>DEC2HEX(MOD(K51,256))</f>
        <v>40</v>
      </c>
      <c r="K51" s="37">
        <f>P54-1</f>
        <v>1088</v>
      </c>
      <c r="L51" s="73">
        <v>176</v>
      </c>
      <c r="M51" s="73">
        <v>280</v>
      </c>
      <c r="N51" s="73">
        <v>1680</v>
      </c>
      <c r="O51" s="73">
        <f>P51-N51-M51-L51</f>
        <v>104</v>
      </c>
      <c r="P51" s="73">
        <v>2240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228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179</v>
      </c>
      <c r="M53" s="72" t="s">
        <v>180</v>
      </c>
      <c r="N53" s="72" t="s">
        <v>170</v>
      </c>
      <c r="O53" s="72" t="s">
        <v>183</v>
      </c>
      <c r="P53" s="72" t="s">
        <v>182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30</v>
      </c>
      <c r="N54" s="73">
        <v>1050</v>
      </c>
      <c r="O54" s="73">
        <f>P54-N54-M54-L54</f>
        <v>3</v>
      </c>
      <c r="P54" s="73">
        <v>1089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0xAF</v>
      </c>
      <c r="J55" s="20" t="str">
        <f>DEC2HEX(MOD(K55,256))</f>
        <v>AF</v>
      </c>
      <c r="K55" s="37">
        <f>L51-1</f>
        <v>175</v>
      </c>
      <c r="L55" s="91" t="s">
        <v>184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0xC8</v>
      </c>
      <c r="J61" s="20" t="str">
        <f>DEC2HEX(MOD(K61,256))</f>
        <v>C8</v>
      </c>
      <c r="K61" s="37">
        <f>L51+M51</f>
        <v>456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0x57</v>
      </c>
      <c r="J63" s="20" t="str">
        <f>DEC2HEX(MOD(K63,256))</f>
        <v>57</v>
      </c>
      <c r="K63" s="37">
        <f>L51+M51+N51-1</f>
        <v>2135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0x24</v>
      </c>
      <c r="J65" s="20" t="str">
        <f>DEC2HEX(MOD(K65,256))</f>
        <v>24</v>
      </c>
      <c r="K65" s="37">
        <f>L54+M54</f>
        <v>36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0x3D</v>
      </c>
      <c r="J67" s="20" t="str">
        <f>DEC2HEX(MOD(K67,256))</f>
        <v>3D</v>
      </c>
      <c r="K67" s="37">
        <f>L54+M54+N54-1</f>
        <v>1085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320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0xC8</v>
      </c>
      <c r="J69" s="20" t="str">
        <f>J61</f>
        <v>C8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0x57</v>
      </c>
      <c r="J71" s="20" t="str">
        <f t="shared" si="1"/>
        <v>57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304</v>
      </c>
      <c r="G73" s="22" t="s">
        <v>37</v>
      </c>
      <c r="H73" s="21" t="s">
        <v>34</v>
      </c>
      <c r="I73" s="21" t="str">
        <f t="shared" si="0"/>
        <v>0x24</v>
      </c>
      <c r="J73" s="20" t="str">
        <f t="shared" si="1"/>
        <v>24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301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160</v>
      </c>
      <c r="G75" s="22" t="s">
        <v>37</v>
      </c>
      <c r="H75" s="21" t="s">
        <v>34</v>
      </c>
      <c r="I75" s="21" t="str">
        <f t="shared" si="0"/>
        <v>0x3D</v>
      </c>
      <c r="J75" s="20" t="str">
        <f t="shared" si="1"/>
        <v>3D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0xAF</v>
      </c>
      <c r="J79" s="20" t="str">
        <f t="shared" si="2"/>
        <v>AF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0xC8</v>
      </c>
      <c r="J81" s="20" t="str">
        <f>J61</f>
        <v>C8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0x57</v>
      </c>
      <c r="J83" s="20" t="str">
        <f t="shared" si="3"/>
        <v>57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0x24</v>
      </c>
      <c r="J85" s="20" t="str">
        <f t="shared" si="3"/>
        <v>24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0x3D</v>
      </c>
      <c r="J87" s="20" t="str">
        <f t="shared" si="3"/>
        <v>3D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"/>
    <protectedRange password="EBC5" sqref="I4:I6" name="範圍1_3_3_1_1_1_2_1_1_2_1"/>
    <protectedRange password="EBC5" sqref="I91:I92" name="範圍1_3_3_1_1_1_2_1_1_2_2_2"/>
    <protectedRange password="EBC5" sqref="I89:I90" name="範圍1_3_3_1_1_1_2_1_1_2_1_2_1"/>
    <protectedRange password="EBC5" sqref="I3 I7:I8" name="範圍1_3_3_1_1_1_2_1_1_2"/>
    <protectedRange password="EBC5" sqref="I35 I39:I45" name="範圍1_3_3_1_1_1_2_1_1_2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92"/>
  <sheetViews>
    <sheetView topLeftCell="A22" zoomScale="115" zoomScaleNormal="115" workbookViewId="0">
      <selection activeCell="F45" sqref="F45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324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328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328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328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162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344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87" t="s">
        <v>420</v>
      </c>
      <c r="B32" s="62" t="s">
        <v>421</v>
      </c>
      <c r="C32" s="62" t="s">
        <v>52</v>
      </c>
      <c r="D32" s="63" t="s">
        <v>139</v>
      </c>
      <c r="E32" s="63" t="s">
        <v>36</v>
      </c>
      <c r="F32" s="63" t="s">
        <v>422</v>
      </c>
      <c r="G32" s="84" t="s">
        <v>37</v>
      </c>
      <c r="H32" s="63" t="s">
        <v>34</v>
      </c>
      <c r="I32" s="85" t="s">
        <v>423</v>
      </c>
      <c r="K32" s="37"/>
      <c r="L32" s="37"/>
    </row>
    <row r="33" spans="1:12" s="20" customFormat="1" x14ac:dyDescent="0.3">
      <c r="A33" s="82" t="s">
        <v>51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424</v>
      </c>
      <c r="H33" s="21" t="s">
        <v>34</v>
      </c>
      <c r="I33" s="86" t="s">
        <v>425</v>
      </c>
      <c r="K33" s="37"/>
      <c r="L33" s="37"/>
    </row>
    <row r="34" spans="1:12" s="20" customFormat="1" x14ac:dyDescent="0.3">
      <c r="A34" s="82" t="s">
        <v>420</v>
      </c>
      <c r="B34" s="32" t="s">
        <v>426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427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336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339</v>
      </c>
      <c r="G39" s="22" t="s">
        <v>37</v>
      </c>
      <c r="H39" s="21" t="s">
        <v>34</v>
      </c>
      <c r="I39" s="21" t="s">
        <v>410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339</v>
      </c>
      <c r="G40" s="24" t="s">
        <v>39</v>
      </c>
      <c r="H40" s="21" t="s">
        <v>34</v>
      </c>
      <c r="I40" s="21" t="s">
        <v>410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341</v>
      </c>
      <c r="G41" s="22" t="s">
        <v>37</v>
      </c>
      <c r="H41" s="21" t="s">
        <v>34</v>
      </c>
      <c r="I41" s="21" t="s">
        <v>409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527</v>
      </c>
      <c r="G42" s="22" t="s">
        <v>37</v>
      </c>
      <c r="H42" s="21" t="s">
        <v>34</v>
      </c>
      <c r="I42" s="21" t="s">
        <v>410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527</v>
      </c>
      <c r="G43" s="24" t="s">
        <v>39</v>
      </c>
      <c r="H43" s="21" t="s">
        <v>34</v>
      </c>
      <c r="I43" s="21" t="s">
        <v>410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530</v>
      </c>
      <c r="G44" s="22" t="s">
        <v>37</v>
      </c>
      <c r="H44" s="21" t="s">
        <v>34</v>
      </c>
      <c r="I44" s="21" t="s">
        <v>409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166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250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0x6F</v>
      </c>
      <c r="J49" s="20" t="str">
        <f>DEC2HEX(MOD(K49,256))</f>
        <v>6F</v>
      </c>
      <c r="K49" s="37">
        <f>P51-1</f>
        <v>2159</v>
      </c>
      <c r="L49" s="91" t="s">
        <v>230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250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0x08</v>
      </c>
      <c r="J50" s="20" t="str">
        <f>DEC2HEX((K49-MOD(K49,256))/256)</f>
        <v>8</v>
      </c>
      <c r="K50" s="37"/>
      <c r="L50" s="72" t="s">
        <v>217</v>
      </c>
      <c r="M50" s="72" t="s">
        <v>218</v>
      </c>
      <c r="N50" s="72" t="s">
        <v>187</v>
      </c>
      <c r="O50" s="72" t="s">
        <v>186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250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0xE1</v>
      </c>
      <c r="J51" s="20" t="str">
        <f>DEC2HEX(MOD(K51,256))</f>
        <v>E1</v>
      </c>
      <c r="K51" s="37">
        <f>P54-1</f>
        <v>1249</v>
      </c>
      <c r="L51" s="73">
        <v>192</v>
      </c>
      <c r="M51" s="73">
        <v>304</v>
      </c>
      <c r="N51" s="73">
        <v>1600</v>
      </c>
      <c r="O51" s="73">
        <f>P51-N51-M51-L51</f>
        <v>64</v>
      </c>
      <c r="P51" s="73">
        <v>2160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94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231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95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232</v>
      </c>
      <c r="M53" s="72" t="s">
        <v>218</v>
      </c>
      <c r="N53" s="72" t="s">
        <v>233</v>
      </c>
      <c r="O53" s="72" t="s">
        <v>234</v>
      </c>
      <c r="P53" s="72" t="s">
        <v>219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3</v>
      </c>
      <c r="M54" s="73">
        <v>46</v>
      </c>
      <c r="N54" s="73">
        <v>1200</v>
      </c>
      <c r="O54" s="73">
        <f>P54-N54-M54-L54</f>
        <v>1</v>
      </c>
      <c r="P54" s="73">
        <v>1250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97</v>
      </c>
      <c r="G55" s="22" t="s">
        <v>37</v>
      </c>
      <c r="H55" s="21" t="s">
        <v>34</v>
      </c>
      <c r="I55" s="21" t="str">
        <f t="shared" si="0"/>
        <v>0xBF</v>
      </c>
      <c r="J55" s="20" t="str">
        <f>DEC2HEX(MOD(K55,256))</f>
        <v>BF</v>
      </c>
      <c r="K55" s="37">
        <f>L51-1</f>
        <v>191</v>
      </c>
      <c r="L55" s="91" t="s">
        <v>235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65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0x02</v>
      </c>
      <c r="J59" s="20" t="str">
        <f>DEC2HEX(MOD(K59,256))</f>
        <v>2</v>
      </c>
      <c r="K59" s="37">
        <f>L54-1</f>
        <v>2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0xF0</v>
      </c>
      <c r="J61" s="20" t="str">
        <f>DEC2HEX(MOD(K61,256))</f>
        <v>F0</v>
      </c>
      <c r="K61" s="37">
        <f>L51+M51</f>
        <v>496</v>
      </c>
      <c r="L61" s="37"/>
    </row>
    <row r="62" spans="1:16" s="20" customFormat="1" x14ac:dyDescent="0.3">
      <c r="A62" s="31" t="s">
        <v>93</v>
      </c>
      <c r="B62" s="32" t="s">
        <v>76</v>
      </c>
      <c r="C62" s="32"/>
      <c r="D62" s="63" t="s">
        <v>140</v>
      </c>
      <c r="E62" s="21" t="s">
        <v>36</v>
      </c>
      <c r="F62" s="21" t="s">
        <v>101</v>
      </c>
      <c r="G62" s="24" t="s">
        <v>39</v>
      </c>
      <c r="H62" s="21" t="s">
        <v>34</v>
      </c>
      <c r="I62" s="21" t="str">
        <f t="shared" si="0"/>
        <v>0x01</v>
      </c>
      <c r="J62" s="20" t="str">
        <f>DEC2HEX((K61-MOD(K61,256))/256)</f>
        <v>1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66</v>
      </c>
      <c r="G63" s="22" t="s">
        <v>37</v>
      </c>
      <c r="H63" s="21" t="s">
        <v>34</v>
      </c>
      <c r="I63" s="21" t="str">
        <f t="shared" si="0"/>
        <v>0x2F</v>
      </c>
      <c r="J63" s="20" t="str">
        <f>DEC2HEX(MOD(K63,256))</f>
        <v>2F</v>
      </c>
      <c r="K63" s="37">
        <f>L51+M51+N51-1</f>
        <v>2095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0x08</v>
      </c>
      <c r="J64" s="20" t="str">
        <f>DEC2HEX((K63-MOD(K63,256))/256)</f>
        <v>8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0x31</v>
      </c>
      <c r="J65" s="20" t="str">
        <f>DEC2HEX(MOD(K65,256))</f>
        <v>31</v>
      </c>
      <c r="K65" s="37">
        <f>L54+M54</f>
        <v>49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103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317</v>
      </c>
      <c r="G67" s="22" t="s">
        <v>37</v>
      </c>
      <c r="H67" s="21" t="s">
        <v>34</v>
      </c>
      <c r="I67" s="21" t="str">
        <f t="shared" si="0"/>
        <v>0xE0</v>
      </c>
      <c r="J67" s="20" t="str">
        <f>DEC2HEX(MOD(K67,256))</f>
        <v>E0</v>
      </c>
      <c r="K67" s="37">
        <f>L54+M54+N54-1</f>
        <v>1248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314</v>
      </c>
      <c r="G69" s="22" t="s">
        <v>37</v>
      </c>
      <c r="H69" s="21" t="s">
        <v>34</v>
      </c>
      <c r="I69" s="21" t="str">
        <f t="shared" si="0"/>
        <v>0xF0</v>
      </c>
      <c r="J69" s="20" t="str">
        <f>J61</f>
        <v>F0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0x01</v>
      </c>
      <c r="J70" s="20" t="str">
        <f t="shared" ref="J70:J76" si="1">J62</f>
        <v>1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306</v>
      </c>
      <c r="G71" s="22" t="s">
        <v>37</v>
      </c>
      <c r="H71" s="21" t="s">
        <v>34</v>
      </c>
      <c r="I71" s="21" t="str">
        <f t="shared" si="0"/>
        <v>0x2F</v>
      </c>
      <c r="J71" s="20" t="str">
        <f t="shared" si="1"/>
        <v>2F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306</v>
      </c>
      <c r="G72" s="24" t="s">
        <v>39</v>
      </c>
      <c r="H72" s="21" t="s">
        <v>34</v>
      </c>
      <c r="I72" s="21" t="str">
        <f t="shared" si="0"/>
        <v>0x08</v>
      </c>
      <c r="J72" s="20" t="str">
        <f t="shared" si="1"/>
        <v>8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303</v>
      </c>
      <c r="G73" s="22" t="s">
        <v>37</v>
      </c>
      <c r="H73" s="21" t="s">
        <v>34</v>
      </c>
      <c r="I73" s="21" t="str">
        <f t="shared" si="0"/>
        <v>0x31</v>
      </c>
      <c r="J73" s="20" t="str">
        <f t="shared" si="1"/>
        <v>31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160</v>
      </c>
      <c r="G75" s="22" t="s">
        <v>37</v>
      </c>
      <c r="H75" s="21" t="s">
        <v>34</v>
      </c>
      <c r="I75" s="21" t="str">
        <f t="shared" si="0"/>
        <v>0xE0</v>
      </c>
      <c r="J75" s="20" t="str">
        <f t="shared" si="1"/>
        <v>E0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160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47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112</v>
      </c>
      <c r="C78" s="32"/>
      <c r="D78" s="21" t="s">
        <v>140</v>
      </c>
      <c r="E78" s="21" t="s">
        <v>36</v>
      </c>
      <c r="F78" s="21" t="s">
        <v>47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0xBF</v>
      </c>
      <c r="J79" s="20" t="str">
        <f t="shared" si="2"/>
        <v>BF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0xF0</v>
      </c>
      <c r="J81" s="20" t="str">
        <f>J61</f>
        <v>F0</v>
      </c>
      <c r="K81" s="37"/>
      <c r="L81" s="37"/>
    </row>
    <row r="82" spans="1:12" s="20" customFormat="1" x14ac:dyDescent="0.3">
      <c r="A82" s="31" t="s">
        <v>93</v>
      </c>
      <c r="B82" s="32" t="s">
        <v>119</v>
      </c>
      <c r="C82" s="32"/>
      <c r="D82" s="21" t="s">
        <v>140</v>
      </c>
      <c r="E82" s="21" t="s">
        <v>36</v>
      </c>
      <c r="F82" s="21" t="s">
        <v>125</v>
      </c>
      <c r="G82" s="24" t="s">
        <v>39</v>
      </c>
      <c r="H82" s="21" t="s">
        <v>34</v>
      </c>
      <c r="I82" s="21" t="str">
        <f t="shared" si="0"/>
        <v>0x01</v>
      </c>
      <c r="J82" s="20" t="str">
        <f t="shared" ref="J82:J88" si="3">J62</f>
        <v>1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0x2F</v>
      </c>
      <c r="J83" s="20" t="str">
        <f t="shared" si="3"/>
        <v>2F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0x08</v>
      </c>
      <c r="J84" s="20" t="str">
        <f t="shared" si="3"/>
        <v>8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84</v>
      </c>
      <c r="G85" s="22" t="s">
        <v>37</v>
      </c>
      <c r="H85" s="21" t="s">
        <v>34</v>
      </c>
      <c r="I85" s="21" t="str">
        <f t="shared" si="0"/>
        <v>0x31</v>
      </c>
      <c r="J85" s="20" t="str">
        <f t="shared" si="3"/>
        <v>31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296</v>
      </c>
      <c r="G87" s="22" t="s">
        <v>37</v>
      </c>
      <c r="H87" s="21" t="s">
        <v>34</v>
      </c>
      <c r="I87" s="21" t="str">
        <f t="shared" si="0"/>
        <v>0xE0</v>
      </c>
      <c r="J87" s="20" t="str">
        <f t="shared" si="3"/>
        <v>E0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129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"/>
    <protectedRange password="EBC5" sqref="I36 I28:I29" name="範圍1_3_3_1_1_1_2_1_1_2_1_1"/>
    <protectedRange password="EBC5" sqref="I49:I88" name="範圍1_3_3_1_1_1_2_1_1_2_1_2"/>
    <protectedRange password="EBC5" sqref="I4:I6" name="範圍1_3_3_1_1_1_2_1_1_2_1"/>
    <protectedRange password="EBC5" sqref="I91:I92" name="範圍1_3_3_1_1_1_2_1_1_2_2_2"/>
    <protectedRange password="EBC5" sqref="I89:I90" name="範圍1_3_3_1_1_1_2_1_1_2_1_2_1"/>
    <protectedRange password="EBC5" sqref="I3 I7:I8" name="範圍1_3_3_1_1_1_2_1_1_2_3"/>
    <protectedRange password="EBC5" sqref="I35 I39:I45" name="範圍1_3_3_1_1_1_2_1_1_2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5:P55"/>
    <mergeCell ref="L56:P56"/>
    <mergeCell ref="A30:C30"/>
    <mergeCell ref="A1:C1"/>
    <mergeCell ref="A9:C9"/>
    <mergeCell ref="A47:C47"/>
    <mergeCell ref="L49:P49"/>
    <mergeCell ref="L52:P52"/>
    <mergeCell ref="A37:C3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FF00"/>
  </sheetPr>
  <dimension ref="A1:U92"/>
  <sheetViews>
    <sheetView topLeftCell="A22" zoomScale="115" zoomScaleNormal="115" workbookViewId="0">
      <selection activeCell="F45" sqref="F45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3.664062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89" t="s">
        <v>257</v>
      </c>
      <c r="B1" s="89"/>
      <c r="C1" s="8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60</v>
      </c>
      <c r="B3" s="32" t="s">
        <v>49</v>
      </c>
      <c r="C3" s="32" t="s">
        <v>50</v>
      </c>
      <c r="D3" s="21" t="s">
        <v>322</v>
      </c>
      <c r="E3" s="21" t="s">
        <v>36</v>
      </c>
      <c r="F3" s="21" t="s">
        <v>137</v>
      </c>
      <c r="G3" s="22" t="s">
        <v>138</v>
      </c>
      <c r="H3" s="21" t="s">
        <v>34</v>
      </c>
      <c r="I3" s="21" t="s">
        <v>38</v>
      </c>
      <c r="K3" s="37"/>
      <c r="L3" s="37"/>
    </row>
    <row r="4" spans="1:12" s="20" customFormat="1" ht="26.4" x14ac:dyDescent="0.3">
      <c r="A4" s="31" t="s">
        <v>61</v>
      </c>
      <c r="B4" s="65" t="s">
        <v>148</v>
      </c>
      <c r="C4" s="32" t="s">
        <v>146</v>
      </c>
      <c r="D4" s="21" t="s">
        <v>326</v>
      </c>
      <c r="E4" s="21" t="s">
        <v>36</v>
      </c>
      <c r="F4" s="21" t="s">
        <v>144</v>
      </c>
      <c r="G4" s="22" t="s">
        <v>37</v>
      </c>
      <c r="H4" s="21" t="s">
        <v>34</v>
      </c>
      <c r="I4" s="21" t="s">
        <v>147</v>
      </c>
      <c r="K4" s="37"/>
      <c r="L4" s="37"/>
    </row>
    <row r="5" spans="1:12" s="20" customFormat="1" ht="26.4" x14ac:dyDescent="0.3">
      <c r="A5" s="31" t="s">
        <v>61</v>
      </c>
      <c r="B5" s="55" t="s">
        <v>150</v>
      </c>
      <c r="C5" s="32" t="s">
        <v>149</v>
      </c>
      <c r="D5" s="21" t="s">
        <v>326</v>
      </c>
      <c r="E5" s="21" t="s">
        <v>36</v>
      </c>
      <c r="F5" s="21" t="s">
        <v>145</v>
      </c>
      <c r="G5" s="22" t="s">
        <v>37</v>
      </c>
      <c r="H5" s="21" t="s">
        <v>34</v>
      </c>
      <c r="I5" s="21" t="s">
        <v>38</v>
      </c>
      <c r="K5" s="37"/>
      <c r="L5" s="37"/>
    </row>
    <row r="6" spans="1:12" s="20" customFormat="1" ht="26.4" x14ac:dyDescent="0.3">
      <c r="A6" s="31" t="s">
        <v>61</v>
      </c>
      <c r="B6" s="55" t="s">
        <v>158</v>
      </c>
      <c r="C6" s="32" t="s">
        <v>157</v>
      </c>
      <c r="D6" s="21" t="s">
        <v>326</v>
      </c>
      <c r="E6" s="21" t="s">
        <v>36</v>
      </c>
      <c r="F6" s="21" t="s">
        <v>45</v>
      </c>
      <c r="G6" s="22" t="s">
        <v>37</v>
      </c>
      <c r="H6" s="21" t="s">
        <v>34</v>
      </c>
      <c r="I6" s="21" t="s">
        <v>46</v>
      </c>
      <c r="K6" s="37"/>
      <c r="L6" s="37"/>
    </row>
    <row r="7" spans="1:12" s="20" customFormat="1" x14ac:dyDescent="0.3">
      <c r="A7" s="31"/>
      <c r="B7" s="32"/>
      <c r="C7" s="32"/>
      <c r="D7" s="74"/>
      <c r="E7" s="48"/>
      <c r="F7" s="48"/>
      <c r="G7" s="75"/>
      <c r="H7" s="49"/>
      <c r="I7" s="21"/>
      <c r="K7" s="37"/>
      <c r="L7" s="37"/>
    </row>
    <row r="8" spans="1:12" s="20" customFormat="1" x14ac:dyDescent="0.3">
      <c r="A8" s="31"/>
      <c r="B8" s="32"/>
      <c r="C8" s="32"/>
      <c r="D8" s="74"/>
      <c r="E8" s="48"/>
      <c r="F8" s="48"/>
      <c r="G8" s="75"/>
      <c r="H8" s="49"/>
      <c r="I8" s="21"/>
      <c r="K8" s="37"/>
      <c r="L8" s="37"/>
    </row>
    <row r="9" spans="1:12" ht="28.2" x14ac:dyDescent="0.3">
      <c r="A9" s="89" t="s">
        <v>161</v>
      </c>
      <c r="B9" s="89"/>
      <c r="C9" s="89"/>
      <c r="D9" s="46"/>
      <c r="E9" s="47"/>
      <c r="F9" s="48"/>
      <c r="G9" s="48"/>
      <c r="H9" s="49"/>
      <c r="I9" s="13" t="s">
        <v>28</v>
      </c>
    </row>
    <row r="10" spans="1:12" x14ac:dyDescent="0.3">
      <c r="A10" s="14" t="s">
        <v>10</v>
      </c>
      <c r="B10" s="43" t="s">
        <v>11</v>
      </c>
      <c r="C10" s="15" t="s">
        <v>12</v>
      </c>
      <c r="D10" s="16" t="s">
        <v>13</v>
      </c>
      <c r="E10" s="17" t="s">
        <v>14</v>
      </c>
      <c r="F10" s="16" t="s">
        <v>15</v>
      </c>
      <c r="G10" s="16" t="s">
        <v>16</v>
      </c>
      <c r="H10" s="18" t="s">
        <v>17</v>
      </c>
      <c r="I10" s="19" t="s">
        <v>29</v>
      </c>
    </row>
    <row r="11" spans="1:12" s="20" customFormat="1" x14ac:dyDescent="0.3">
      <c r="A11" s="31" t="s">
        <v>88</v>
      </c>
      <c r="B11" s="55" t="s">
        <v>89</v>
      </c>
      <c r="C11" s="32"/>
      <c r="D11" s="21" t="s">
        <v>86</v>
      </c>
      <c r="E11" s="21" t="s">
        <v>36</v>
      </c>
      <c r="F11" s="21" t="s">
        <v>65</v>
      </c>
      <c r="G11" s="22" t="s">
        <v>37</v>
      </c>
      <c r="H11" s="21" t="s">
        <v>82</v>
      </c>
      <c r="I11" s="21" t="s">
        <v>82</v>
      </c>
      <c r="K11" s="37"/>
      <c r="L11" s="37"/>
    </row>
    <row r="12" spans="1:12" s="20" customFormat="1" x14ac:dyDescent="0.3">
      <c r="A12" s="31" t="s">
        <v>88</v>
      </c>
      <c r="B12" s="55" t="s">
        <v>90</v>
      </c>
      <c r="C12" s="32"/>
      <c r="D12" s="21" t="s">
        <v>86</v>
      </c>
      <c r="E12" s="21" t="s">
        <v>36</v>
      </c>
      <c r="F12" s="21" t="s">
        <v>42</v>
      </c>
      <c r="G12" s="22" t="s">
        <v>37</v>
      </c>
      <c r="H12" s="21" t="s">
        <v>40</v>
      </c>
      <c r="I12" s="21" t="s">
        <v>40</v>
      </c>
      <c r="K12" s="37"/>
      <c r="L12" s="37"/>
    </row>
    <row r="13" spans="1:12" s="20" customFormat="1" x14ac:dyDescent="0.3">
      <c r="A13" s="56" t="s">
        <v>88</v>
      </c>
      <c r="B13" s="57" t="s">
        <v>91</v>
      </c>
      <c r="C13" s="58"/>
      <c r="D13" s="59" t="s">
        <v>86</v>
      </c>
      <c r="E13" s="59" t="s">
        <v>36</v>
      </c>
      <c r="F13" s="59" t="s">
        <v>300</v>
      </c>
      <c r="G13" s="60" t="s">
        <v>37</v>
      </c>
      <c r="H13" s="59" t="s">
        <v>34</v>
      </c>
      <c r="I13" s="59" t="s">
        <v>38</v>
      </c>
      <c r="K13" s="37"/>
      <c r="L13" s="37"/>
    </row>
    <row r="14" spans="1:12" s="20" customFormat="1" x14ac:dyDescent="0.3">
      <c r="A14" s="31" t="s">
        <v>88</v>
      </c>
      <c r="B14" s="55" t="s">
        <v>142</v>
      </c>
      <c r="C14" s="32"/>
      <c r="D14" s="21" t="s">
        <v>86</v>
      </c>
      <c r="E14" s="21" t="s">
        <v>36</v>
      </c>
      <c r="F14" s="21" t="s">
        <v>309</v>
      </c>
      <c r="G14" s="22" t="s">
        <v>37</v>
      </c>
      <c r="H14" s="21" t="s">
        <v>34</v>
      </c>
      <c r="I14" s="21" t="s">
        <v>40</v>
      </c>
      <c r="K14" s="37"/>
      <c r="L14" s="37"/>
    </row>
    <row r="15" spans="1:12" s="20" customFormat="1" x14ac:dyDescent="0.3">
      <c r="A15" s="31" t="s">
        <v>88</v>
      </c>
      <c r="B15" s="55" t="s">
        <v>143</v>
      </c>
      <c r="C15" s="32"/>
      <c r="D15" s="21" t="s">
        <v>86</v>
      </c>
      <c r="E15" s="21" t="s">
        <v>36</v>
      </c>
      <c r="F15" s="21" t="s">
        <v>84</v>
      </c>
      <c r="G15" s="22" t="s">
        <v>37</v>
      </c>
      <c r="H15" s="21" t="s">
        <v>358</v>
      </c>
      <c r="I15" s="21" t="s">
        <v>40</v>
      </c>
      <c r="K15" s="37"/>
      <c r="L15" s="37"/>
    </row>
    <row r="16" spans="1:12" s="20" customFormat="1" x14ac:dyDescent="0.3">
      <c r="A16" s="31" t="s">
        <v>88</v>
      </c>
      <c r="B16" s="55" t="s">
        <v>92</v>
      </c>
      <c r="C16" s="32"/>
      <c r="D16" s="21" t="s">
        <v>86</v>
      </c>
      <c r="E16" s="21" t="s">
        <v>36</v>
      </c>
      <c r="F16" s="21" t="s">
        <v>43</v>
      </c>
      <c r="G16" s="22" t="s">
        <v>37</v>
      </c>
      <c r="H16" s="21" t="s">
        <v>34</v>
      </c>
      <c r="I16" s="21" t="s">
        <v>38</v>
      </c>
      <c r="K16" s="37"/>
      <c r="L16" s="37"/>
    </row>
    <row r="17" spans="1:12" s="20" customFormat="1" ht="39.6" x14ac:dyDescent="0.3">
      <c r="A17" s="31" t="s">
        <v>88</v>
      </c>
      <c r="B17" s="81" t="s">
        <v>371</v>
      </c>
      <c r="C17" s="32" t="s">
        <v>87</v>
      </c>
      <c r="D17" s="21" t="s">
        <v>86</v>
      </c>
      <c r="E17" s="21" t="s">
        <v>36</v>
      </c>
      <c r="F17" s="21" t="s">
        <v>383</v>
      </c>
      <c r="G17" s="22" t="s">
        <v>37</v>
      </c>
      <c r="H17" s="21" t="s">
        <v>34</v>
      </c>
      <c r="I17" s="21" t="s">
        <v>370</v>
      </c>
      <c r="K17" s="37">
        <f>IF(I17="0x04",0.5,IF(I17="0x02",1,IF(I17="0x01",2,0)))</f>
        <v>0</v>
      </c>
      <c r="L17" s="37"/>
    </row>
    <row r="18" spans="1:12" s="20" customFormat="1" x14ac:dyDescent="0.3">
      <c r="A18" s="31" t="s">
        <v>88</v>
      </c>
      <c r="B18" s="80" t="s">
        <v>369</v>
      </c>
      <c r="C18" s="32" t="s">
        <v>87</v>
      </c>
      <c r="D18" s="21" t="s">
        <v>86</v>
      </c>
      <c r="E18" s="21" t="s">
        <v>36</v>
      </c>
      <c r="F18" s="21" t="s">
        <v>383</v>
      </c>
      <c r="G18" s="22" t="s">
        <v>138</v>
      </c>
      <c r="H18" s="21" t="s">
        <v>34</v>
      </c>
      <c r="I18" s="21" t="s">
        <v>340</v>
      </c>
      <c r="K18" s="37">
        <f>IF(I18="0x04",0.5,IF(I18="0x02",1,IF(I18="0x01",2,0)))</f>
        <v>0</v>
      </c>
      <c r="L18" s="37"/>
    </row>
    <row r="19" spans="1:12" s="20" customFormat="1" ht="79.2" x14ac:dyDescent="0.3">
      <c r="A19" s="31" t="s">
        <v>88</v>
      </c>
      <c r="B19" s="55" t="s">
        <v>373</v>
      </c>
      <c r="C19" s="32" t="s">
        <v>87</v>
      </c>
      <c r="D19" s="21" t="s">
        <v>86</v>
      </c>
      <c r="E19" s="21" t="s">
        <v>36</v>
      </c>
      <c r="F19" s="21" t="s">
        <v>384</v>
      </c>
      <c r="G19" s="22" t="s">
        <v>37</v>
      </c>
      <c r="H19" s="21" t="s">
        <v>34</v>
      </c>
      <c r="I19" s="21" t="s">
        <v>372</v>
      </c>
      <c r="K19" s="37">
        <f>IF(I19="0x01",2,1)</f>
        <v>1</v>
      </c>
      <c r="L19" s="37"/>
    </row>
    <row r="20" spans="1:12" s="20" customFormat="1" x14ac:dyDescent="0.3">
      <c r="A20" s="31" t="s">
        <v>88</v>
      </c>
      <c r="B20" s="55" t="s">
        <v>374</v>
      </c>
      <c r="C20" s="32" t="s">
        <v>87</v>
      </c>
      <c r="D20" s="21" t="s">
        <v>86</v>
      </c>
      <c r="E20" s="21" t="s">
        <v>36</v>
      </c>
      <c r="F20" s="21" t="s">
        <v>364</v>
      </c>
      <c r="G20" s="22" t="s">
        <v>37</v>
      </c>
      <c r="H20" s="21" t="s">
        <v>34</v>
      </c>
      <c r="I20" s="21" t="s">
        <v>376</v>
      </c>
      <c r="K20" s="37"/>
      <c r="L20" s="37"/>
    </row>
    <row r="21" spans="1:12" s="20" customFormat="1" x14ac:dyDescent="0.3">
      <c r="A21" s="31" t="s">
        <v>88</v>
      </c>
      <c r="B21" s="55" t="s">
        <v>374</v>
      </c>
      <c r="C21" s="32" t="s">
        <v>87</v>
      </c>
      <c r="D21" s="21" t="s">
        <v>86</v>
      </c>
      <c r="E21" s="21" t="s">
        <v>36</v>
      </c>
      <c r="F21" s="21" t="s">
        <v>364</v>
      </c>
      <c r="G21" s="22" t="s">
        <v>138</v>
      </c>
      <c r="H21" s="21" t="s">
        <v>34</v>
      </c>
      <c r="I21" s="21" t="s">
        <v>43</v>
      </c>
      <c r="K21" s="37"/>
      <c r="L21" s="37"/>
    </row>
    <row r="22" spans="1:12" s="20" customFormat="1" x14ac:dyDescent="0.3">
      <c r="A22" s="31" t="s">
        <v>88</v>
      </c>
      <c r="B22" s="55" t="s">
        <v>375</v>
      </c>
      <c r="C22" s="32" t="s">
        <v>87</v>
      </c>
      <c r="D22" s="21" t="s">
        <v>86</v>
      </c>
      <c r="E22" s="21" t="s">
        <v>36</v>
      </c>
      <c r="F22" s="21" t="s">
        <v>365</v>
      </c>
      <c r="G22" s="22" t="s">
        <v>37</v>
      </c>
      <c r="H22" s="21" t="s">
        <v>34</v>
      </c>
      <c r="I22" s="21" t="s">
        <v>377</v>
      </c>
      <c r="K22" s="37"/>
      <c r="L22" s="37"/>
    </row>
    <row r="23" spans="1:12" s="20" customFormat="1" x14ac:dyDescent="0.3">
      <c r="A23" s="31" t="s">
        <v>88</v>
      </c>
      <c r="B23" s="55" t="s">
        <v>375</v>
      </c>
      <c r="C23" s="32" t="s">
        <v>87</v>
      </c>
      <c r="D23" s="21" t="s">
        <v>86</v>
      </c>
      <c r="E23" s="21" t="s">
        <v>36</v>
      </c>
      <c r="F23" s="21" t="s">
        <v>365</v>
      </c>
      <c r="G23" s="22" t="s">
        <v>138</v>
      </c>
      <c r="H23" s="21" t="s">
        <v>34</v>
      </c>
      <c r="I23" s="21" t="s">
        <v>378</v>
      </c>
      <c r="K23" s="37"/>
      <c r="L23" s="37"/>
    </row>
    <row r="24" spans="1:12" s="20" customFormat="1" x14ac:dyDescent="0.3">
      <c r="A24" s="31" t="s">
        <v>88</v>
      </c>
      <c r="B24" s="55" t="s">
        <v>366</v>
      </c>
      <c r="C24" s="32" t="s">
        <v>87</v>
      </c>
      <c r="D24" s="21" t="s">
        <v>86</v>
      </c>
      <c r="E24" s="21" t="s">
        <v>36</v>
      </c>
      <c r="F24" s="21" t="s">
        <v>362</v>
      </c>
      <c r="G24" s="22" t="s">
        <v>37</v>
      </c>
      <c r="H24" s="21" t="s">
        <v>34</v>
      </c>
      <c r="I24" s="21" t="s">
        <v>81</v>
      </c>
      <c r="K24" s="37">
        <f>IF(I24="0x01",2,1)</f>
        <v>1</v>
      </c>
      <c r="L24" s="37"/>
    </row>
    <row r="25" spans="1:12" s="20" customFormat="1" x14ac:dyDescent="0.3">
      <c r="A25" s="31" t="s">
        <v>51</v>
      </c>
      <c r="B25" s="55" t="s">
        <v>367</v>
      </c>
      <c r="C25" s="32" t="s">
        <v>87</v>
      </c>
      <c r="D25" s="21" t="s">
        <v>86</v>
      </c>
      <c r="E25" s="21" t="s">
        <v>36</v>
      </c>
      <c r="F25" s="21" t="s">
        <v>385</v>
      </c>
      <c r="G25" s="22" t="s">
        <v>37</v>
      </c>
      <c r="H25" s="21" t="s">
        <v>34</v>
      </c>
      <c r="I25" s="21" t="s">
        <v>63</v>
      </c>
      <c r="K25" s="37"/>
      <c r="L25" s="37"/>
    </row>
    <row r="26" spans="1:12" s="20" customFormat="1" x14ac:dyDescent="0.3">
      <c r="A26" s="31" t="s">
        <v>51</v>
      </c>
      <c r="B26" s="32" t="s">
        <v>368</v>
      </c>
      <c r="C26" s="32" t="s">
        <v>87</v>
      </c>
      <c r="D26" s="21" t="s">
        <v>86</v>
      </c>
      <c r="E26" s="21" t="s">
        <v>36</v>
      </c>
      <c r="F26" s="21" t="s">
        <v>363</v>
      </c>
      <c r="G26" s="22" t="s">
        <v>37</v>
      </c>
      <c r="H26" s="21" t="s">
        <v>34</v>
      </c>
      <c r="I26" s="21" t="s">
        <v>43</v>
      </c>
      <c r="K26" s="37"/>
      <c r="L26" s="37"/>
    </row>
    <row r="27" spans="1:12" s="20" customFormat="1" x14ac:dyDescent="0.3">
      <c r="A27" s="31" t="s">
        <v>88</v>
      </c>
      <c r="B27" s="32" t="s">
        <v>379</v>
      </c>
      <c r="C27" s="32" t="s">
        <v>87</v>
      </c>
      <c r="D27" s="21" t="s">
        <v>86</v>
      </c>
      <c r="E27" s="21" t="s">
        <v>36</v>
      </c>
      <c r="F27" s="21" t="s">
        <v>62</v>
      </c>
      <c r="G27" s="22" t="s">
        <v>37</v>
      </c>
      <c r="H27" s="21" t="s">
        <v>34</v>
      </c>
      <c r="I27" s="21" t="s">
        <v>43</v>
      </c>
      <c r="K27" s="37">
        <f>IF(I27="0x04",0.5,IF(I27="0x02",1,IF(I27="0x01",2,0)))</f>
        <v>0</v>
      </c>
      <c r="L27" s="37"/>
    </row>
    <row r="28" spans="1:12" s="20" customFormat="1" x14ac:dyDescent="0.3">
      <c r="A28" s="64"/>
      <c r="B28" s="66"/>
      <c r="C28" s="66"/>
      <c r="D28" s="67"/>
      <c r="E28" s="67"/>
      <c r="F28" s="67"/>
      <c r="G28" s="68"/>
      <c r="H28" s="67"/>
      <c r="I28" s="67"/>
      <c r="K28" s="37"/>
      <c r="L28" s="37"/>
    </row>
    <row r="29" spans="1:12" s="20" customFormat="1" x14ac:dyDescent="0.3">
      <c r="A29" s="64"/>
      <c r="B29" s="66"/>
      <c r="C29" s="66"/>
      <c r="D29" s="67"/>
      <c r="E29" s="67"/>
      <c r="F29" s="67"/>
      <c r="G29" s="68"/>
      <c r="H29" s="67"/>
      <c r="I29" s="67"/>
      <c r="K29" s="37"/>
      <c r="L29" s="37"/>
    </row>
    <row r="30" spans="1:12" s="20" customFormat="1" ht="28.2" x14ac:dyDescent="0.3">
      <c r="A30" s="89" t="s">
        <v>345</v>
      </c>
      <c r="B30" s="89"/>
      <c r="C30" s="89"/>
      <c r="D30" s="46"/>
      <c r="E30" s="47"/>
      <c r="F30" s="48"/>
      <c r="G30" s="48"/>
      <c r="H30" s="49"/>
      <c r="I30" s="13" t="s">
        <v>28</v>
      </c>
      <c r="K30" s="37"/>
      <c r="L30" s="37"/>
    </row>
    <row r="31" spans="1:12" s="20" customFormat="1" x14ac:dyDescent="0.3">
      <c r="A31" s="14" t="s">
        <v>10</v>
      </c>
      <c r="B31" s="43" t="s">
        <v>11</v>
      </c>
      <c r="C31" s="15" t="s">
        <v>12</v>
      </c>
      <c r="D31" s="16" t="s">
        <v>13</v>
      </c>
      <c r="E31" s="17" t="s">
        <v>14</v>
      </c>
      <c r="F31" s="16" t="s">
        <v>15</v>
      </c>
      <c r="G31" s="16" t="s">
        <v>16</v>
      </c>
      <c r="H31" s="18" t="s">
        <v>17</v>
      </c>
      <c r="I31" s="19" t="s">
        <v>29</v>
      </c>
      <c r="K31" s="37"/>
      <c r="L31" s="37"/>
    </row>
    <row r="32" spans="1:12" s="20" customFormat="1" x14ac:dyDescent="0.3">
      <c r="A32" s="61" t="s">
        <v>51</v>
      </c>
      <c r="B32" s="62" t="s">
        <v>414</v>
      </c>
      <c r="C32" s="62" t="s">
        <v>52</v>
      </c>
      <c r="D32" s="63" t="s">
        <v>139</v>
      </c>
      <c r="E32" s="63" t="s">
        <v>36</v>
      </c>
      <c r="F32" s="63" t="s">
        <v>415</v>
      </c>
      <c r="G32" s="84" t="s">
        <v>37</v>
      </c>
      <c r="H32" s="63" t="s">
        <v>34</v>
      </c>
      <c r="I32" s="85" t="s">
        <v>416</v>
      </c>
      <c r="K32" s="37"/>
      <c r="L32" s="37"/>
    </row>
    <row r="33" spans="1:12" s="20" customFormat="1" x14ac:dyDescent="0.3">
      <c r="A33" s="31" t="s">
        <v>417</v>
      </c>
      <c r="B33" s="32" t="s">
        <v>54</v>
      </c>
      <c r="C33" s="32" t="s">
        <v>52</v>
      </c>
      <c r="D33" s="21" t="s">
        <v>139</v>
      </c>
      <c r="E33" s="21" t="s">
        <v>36</v>
      </c>
      <c r="F33" s="21" t="s">
        <v>56</v>
      </c>
      <c r="G33" s="24" t="s">
        <v>39</v>
      </c>
      <c r="H33" s="21" t="s">
        <v>34</v>
      </c>
      <c r="I33" s="86" t="s">
        <v>418</v>
      </c>
      <c r="K33" s="37"/>
      <c r="L33" s="37"/>
    </row>
    <row r="34" spans="1:12" s="20" customFormat="1" x14ac:dyDescent="0.3">
      <c r="A34" s="31" t="s">
        <v>51</v>
      </c>
      <c r="B34" s="32" t="s">
        <v>419</v>
      </c>
      <c r="C34" s="32" t="s">
        <v>52</v>
      </c>
      <c r="D34" s="21" t="s">
        <v>139</v>
      </c>
      <c r="E34" s="21" t="s">
        <v>36</v>
      </c>
      <c r="F34" s="21" t="s">
        <v>57</v>
      </c>
      <c r="G34" s="22" t="s">
        <v>37</v>
      </c>
      <c r="H34" s="21" t="s">
        <v>34</v>
      </c>
      <c r="I34" s="86" t="s">
        <v>57</v>
      </c>
      <c r="K34" s="37"/>
      <c r="L34" s="37"/>
    </row>
    <row r="35" spans="1:12" s="20" customFormat="1" x14ac:dyDescent="0.3">
      <c r="A35" s="76"/>
      <c r="B35" s="77"/>
      <c r="C35" s="77"/>
      <c r="D35" s="78"/>
      <c r="E35" s="78"/>
      <c r="F35" s="78"/>
      <c r="G35" s="79"/>
      <c r="H35" s="78"/>
      <c r="I35" s="78"/>
      <c r="K35" s="37"/>
      <c r="L35" s="37"/>
    </row>
    <row r="36" spans="1:12" s="20" customFormat="1" x14ac:dyDescent="0.3">
      <c r="A36" s="64"/>
      <c r="B36" s="66"/>
      <c r="C36" s="66"/>
      <c r="D36" s="67"/>
      <c r="E36" s="67"/>
      <c r="F36" s="67"/>
      <c r="G36" s="68"/>
      <c r="H36" s="67"/>
      <c r="I36" s="67"/>
      <c r="K36" s="37"/>
      <c r="L36" s="37"/>
    </row>
    <row r="37" spans="1:12" s="20" customFormat="1" ht="28.2" x14ac:dyDescent="0.3">
      <c r="A37" s="89" t="s">
        <v>335</v>
      </c>
      <c r="B37" s="89"/>
      <c r="C37" s="89"/>
      <c r="D37" s="46"/>
      <c r="E37" s="47"/>
      <c r="F37" s="48"/>
      <c r="G37" s="48"/>
      <c r="H37" s="49"/>
      <c r="I37" s="13" t="s">
        <v>28</v>
      </c>
      <c r="K37" s="37"/>
      <c r="L37" s="37"/>
    </row>
    <row r="38" spans="1:12" s="20" customFormat="1" x14ac:dyDescent="0.3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  <c r="K38" s="37"/>
      <c r="L38" s="37"/>
    </row>
    <row r="39" spans="1:12" s="20" customFormat="1" x14ac:dyDescent="0.3">
      <c r="A39" s="31" t="s">
        <v>51</v>
      </c>
      <c r="B39" s="32" t="s">
        <v>53</v>
      </c>
      <c r="C39" s="32" t="s">
        <v>52</v>
      </c>
      <c r="D39" s="21" t="s">
        <v>86</v>
      </c>
      <c r="E39" s="21" t="s">
        <v>36</v>
      </c>
      <c r="F39" s="21" t="s">
        <v>338</v>
      </c>
      <c r="G39" s="22" t="s">
        <v>37</v>
      </c>
      <c r="H39" s="21" t="s">
        <v>34</v>
      </c>
      <c r="I39" s="21" t="s">
        <v>413</v>
      </c>
      <c r="J39" s="20" t="e">
        <f>DEC2HEX(MOD(K39,256))</f>
        <v>#REF!</v>
      </c>
      <c r="K39" s="37" t="e">
        <f>(432000000 * 524288) /(P51*P54*L56)*#REF!/#REF!</f>
        <v>#REF!</v>
      </c>
      <c r="L39" s="37"/>
    </row>
    <row r="40" spans="1:12" s="20" customFormat="1" x14ac:dyDescent="0.3">
      <c r="A40" s="31" t="s">
        <v>51</v>
      </c>
      <c r="B40" s="32" t="s">
        <v>54</v>
      </c>
      <c r="C40" s="32" t="s">
        <v>52</v>
      </c>
      <c r="D40" s="21" t="s">
        <v>86</v>
      </c>
      <c r="E40" s="21" t="s">
        <v>36</v>
      </c>
      <c r="F40" s="21" t="s">
        <v>338</v>
      </c>
      <c r="G40" s="24" t="s">
        <v>39</v>
      </c>
      <c r="H40" s="21" t="s">
        <v>34</v>
      </c>
      <c r="I40" s="21" t="s">
        <v>412</v>
      </c>
      <c r="J40" s="20" t="e">
        <f>DEC2HEX(MOD((K39-MOD(K39,256))/256,256))</f>
        <v>#REF!</v>
      </c>
      <c r="K40" s="37" t="e">
        <f>DEC2HEX(K39)</f>
        <v>#REF!</v>
      </c>
      <c r="L40" s="37"/>
    </row>
    <row r="41" spans="1:12" s="20" customFormat="1" x14ac:dyDescent="0.3">
      <c r="A41" s="31" t="s">
        <v>51</v>
      </c>
      <c r="B41" s="32" t="s">
        <v>55</v>
      </c>
      <c r="C41" s="32" t="s">
        <v>52</v>
      </c>
      <c r="D41" s="21" t="s">
        <v>86</v>
      </c>
      <c r="E41" s="21" t="s">
        <v>36</v>
      </c>
      <c r="F41" s="21" t="s">
        <v>340</v>
      </c>
      <c r="G41" s="22" t="s">
        <v>37</v>
      </c>
      <c r="H41" s="21" t="s">
        <v>34</v>
      </c>
      <c r="I41" s="21" t="s">
        <v>411</v>
      </c>
      <c r="J41" s="20" t="e">
        <f>DEC2HEX((K39-MOD(K39,256))/65536)</f>
        <v>#REF!</v>
      </c>
      <c r="K41" s="37"/>
      <c r="L41" s="37"/>
    </row>
    <row r="42" spans="1:12" s="20" customFormat="1" x14ac:dyDescent="0.3">
      <c r="A42" s="31" t="s">
        <v>51</v>
      </c>
      <c r="B42" s="32" t="s">
        <v>53</v>
      </c>
      <c r="C42" s="32" t="s">
        <v>52</v>
      </c>
      <c r="D42" s="63" t="s">
        <v>139</v>
      </c>
      <c r="E42" s="21" t="s">
        <v>36</v>
      </c>
      <c r="F42" s="21" t="s">
        <v>526</v>
      </c>
      <c r="G42" s="22" t="s">
        <v>37</v>
      </c>
      <c r="H42" s="21" t="s">
        <v>34</v>
      </c>
      <c r="I42" s="21" t="s">
        <v>413</v>
      </c>
      <c r="J42" s="20" t="e">
        <f>DEC2HEX(MOD(K42,256))</f>
        <v>#DIV/0!</v>
      </c>
      <c r="K42" s="37" t="e">
        <f>(432000000 * 524288) /(P54*P57*L59)*#REF!/#REF!</f>
        <v>#DIV/0!</v>
      </c>
      <c r="L42" s="37"/>
    </row>
    <row r="43" spans="1:12" s="20" customFormat="1" x14ac:dyDescent="0.3">
      <c r="A43" s="31" t="s">
        <v>51</v>
      </c>
      <c r="B43" s="32" t="s">
        <v>54</v>
      </c>
      <c r="C43" s="32" t="s">
        <v>52</v>
      </c>
      <c r="D43" s="21" t="s">
        <v>139</v>
      </c>
      <c r="E43" s="21" t="s">
        <v>36</v>
      </c>
      <c r="F43" s="21" t="s">
        <v>526</v>
      </c>
      <c r="G43" s="24" t="s">
        <v>39</v>
      </c>
      <c r="H43" s="21" t="s">
        <v>34</v>
      </c>
      <c r="I43" s="21" t="s">
        <v>412</v>
      </c>
      <c r="J43" s="20" t="e">
        <f>DEC2HEX(MOD((K42-MOD(K42,256))/256,256))</f>
        <v>#DIV/0!</v>
      </c>
      <c r="K43" s="37" t="e">
        <f>DEC2HEX(K42)</f>
        <v>#DIV/0!</v>
      </c>
      <c r="L43" s="37"/>
    </row>
    <row r="44" spans="1:12" s="20" customFormat="1" x14ac:dyDescent="0.3">
      <c r="A44" s="31" t="s">
        <v>51</v>
      </c>
      <c r="B44" s="32" t="s">
        <v>55</v>
      </c>
      <c r="C44" s="32" t="s">
        <v>52</v>
      </c>
      <c r="D44" s="21" t="s">
        <v>139</v>
      </c>
      <c r="E44" s="21" t="s">
        <v>36</v>
      </c>
      <c r="F44" s="21" t="s">
        <v>529</v>
      </c>
      <c r="G44" s="22" t="s">
        <v>37</v>
      </c>
      <c r="H44" s="21" t="s">
        <v>34</v>
      </c>
      <c r="I44" s="21" t="s">
        <v>411</v>
      </c>
      <c r="J44" s="20" t="e">
        <f>DEC2HEX((K42-MOD(K42,256))/65536)</f>
        <v>#DIV/0!</v>
      </c>
      <c r="K44" s="37"/>
      <c r="L44" s="37"/>
    </row>
    <row r="45" spans="1:12" s="20" customFormat="1" x14ac:dyDescent="0.3">
      <c r="A45" s="64"/>
      <c r="B45" s="66"/>
      <c r="C45" s="66"/>
      <c r="D45" s="67"/>
      <c r="E45" s="67"/>
      <c r="F45" s="67"/>
      <c r="G45" s="68"/>
      <c r="H45" s="67"/>
      <c r="I45" s="67"/>
      <c r="K45" s="37"/>
      <c r="L45" s="37"/>
    </row>
    <row r="46" spans="1:12" s="69" customFormat="1" x14ac:dyDescent="0.3">
      <c r="A46" s="64"/>
      <c r="B46" s="65"/>
      <c r="C46" s="66"/>
      <c r="D46" s="67"/>
      <c r="E46" s="67"/>
      <c r="F46" s="67"/>
      <c r="G46" s="68"/>
      <c r="H46" s="67"/>
      <c r="I46" s="67"/>
      <c r="K46" s="70"/>
      <c r="L46" s="70"/>
    </row>
    <row r="47" spans="1:12" ht="28.2" x14ac:dyDescent="0.3">
      <c r="A47" s="89" t="s">
        <v>165</v>
      </c>
      <c r="B47" s="89"/>
      <c r="C47" s="89"/>
      <c r="D47" s="46"/>
      <c r="E47" s="47"/>
      <c r="F47" s="48"/>
      <c r="G47" s="48"/>
      <c r="H47" s="49"/>
      <c r="I47" s="13" t="s">
        <v>28</v>
      </c>
    </row>
    <row r="48" spans="1:12" x14ac:dyDescent="0.3">
      <c r="A48" s="14" t="s">
        <v>10</v>
      </c>
      <c r="B48" s="43" t="s">
        <v>11</v>
      </c>
      <c r="C48" s="15" t="s">
        <v>12</v>
      </c>
      <c r="D48" s="16" t="s">
        <v>13</v>
      </c>
      <c r="E48" s="17" t="s">
        <v>14</v>
      </c>
      <c r="F48" s="16" t="s">
        <v>15</v>
      </c>
      <c r="G48" s="16" t="s">
        <v>16</v>
      </c>
      <c r="H48" s="18" t="s">
        <v>17</v>
      </c>
      <c r="I48" s="19" t="s">
        <v>29</v>
      </c>
    </row>
    <row r="49" spans="1:16" s="20" customFormat="1" x14ac:dyDescent="0.3">
      <c r="A49" s="31" t="s">
        <v>93</v>
      </c>
      <c r="B49" s="32" t="s">
        <v>70</v>
      </c>
      <c r="C49" s="32" t="s">
        <v>68</v>
      </c>
      <c r="D49" s="21" t="s">
        <v>141</v>
      </c>
      <c r="E49" s="21" t="s">
        <v>36</v>
      </c>
      <c r="F49" s="21" t="s">
        <v>57</v>
      </c>
      <c r="G49" s="22" t="s">
        <v>37</v>
      </c>
      <c r="H49" s="21" t="s">
        <v>34</v>
      </c>
      <c r="I49" s="21" t="str">
        <f>"0x"&amp;TEXT(J49,"00")</f>
        <v>0x1F</v>
      </c>
      <c r="J49" s="20" t="str">
        <f>DEC2HEX(MOD(K49,256))</f>
        <v>1F</v>
      </c>
      <c r="K49" s="37">
        <f>P51-1</f>
        <v>2591</v>
      </c>
      <c r="L49" s="91" t="s">
        <v>138</v>
      </c>
      <c r="M49" s="91"/>
      <c r="N49" s="91"/>
      <c r="O49" s="91"/>
      <c r="P49" s="91"/>
    </row>
    <row r="50" spans="1:16" s="20" customFormat="1" x14ac:dyDescent="0.3">
      <c r="A50" s="61" t="s">
        <v>93</v>
      </c>
      <c r="B50" s="62" t="s">
        <v>70</v>
      </c>
      <c r="C50" s="62"/>
      <c r="D50" s="63" t="s">
        <v>141</v>
      </c>
      <c r="E50" s="63" t="s">
        <v>36</v>
      </c>
      <c r="F50" s="63" t="s">
        <v>57</v>
      </c>
      <c r="G50" s="71" t="s">
        <v>39</v>
      </c>
      <c r="H50" s="63" t="s">
        <v>34</v>
      </c>
      <c r="I50" s="21" t="str">
        <f t="shared" ref="I50:I88" si="0">"0x"&amp;TEXT(J50,"00")</f>
        <v>0xA</v>
      </c>
      <c r="J50" s="20" t="str">
        <f>DEC2HEX((K49-MOD(K49,256))/256)</f>
        <v>A</v>
      </c>
      <c r="K50" s="37"/>
      <c r="L50" s="72" t="s">
        <v>168</v>
      </c>
      <c r="M50" s="72" t="s">
        <v>169</v>
      </c>
      <c r="N50" s="72" t="s">
        <v>171</v>
      </c>
      <c r="O50" s="72" t="s">
        <v>172</v>
      </c>
      <c r="P50" s="72" t="s">
        <v>174</v>
      </c>
    </row>
    <row r="51" spans="1:16" s="20" customFormat="1" x14ac:dyDescent="0.3">
      <c r="A51" s="31" t="s">
        <v>93</v>
      </c>
      <c r="B51" s="32" t="s">
        <v>71</v>
      </c>
      <c r="C51" s="32" t="s">
        <v>68</v>
      </c>
      <c r="D51" s="21" t="s">
        <v>141</v>
      </c>
      <c r="E51" s="21" t="s">
        <v>36</v>
      </c>
      <c r="F51" s="21" t="s">
        <v>63</v>
      </c>
      <c r="G51" s="22" t="s">
        <v>37</v>
      </c>
      <c r="H51" s="21" t="s">
        <v>34</v>
      </c>
      <c r="I51" s="21" t="str">
        <f>"0x"&amp;TEXT(J51,"00")</f>
        <v>0xDC</v>
      </c>
      <c r="J51" s="20" t="str">
        <f>DEC2HEX(MOD(K51,256))</f>
        <v>DC</v>
      </c>
      <c r="K51" s="37">
        <f>P54-1</f>
        <v>1244</v>
      </c>
      <c r="L51" s="73">
        <v>200</v>
      </c>
      <c r="M51" s="73">
        <v>336</v>
      </c>
      <c r="N51" s="73">
        <v>1920</v>
      </c>
      <c r="O51" s="73">
        <f>P51-N51-M51-L51</f>
        <v>136</v>
      </c>
      <c r="P51" s="73">
        <v>2592</v>
      </c>
    </row>
    <row r="52" spans="1:16" s="20" customFormat="1" x14ac:dyDescent="0.3">
      <c r="A52" s="31" t="s">
        <v>93</v>
      </c>
      <c r="B52" s="32" t="s">
        <v>71</v>
      </c>
      <c r="C52" s="32"/>
      <c r="D52" s="21" t="s">
        <v>140</v>
      </c>
      <c r="E52" s="21" t="s">
        <v>36</v>
      </c>
      <c r="F52" s="21" t="s">
        <v>63</v>
      </c>
      <c r="G52" s="24" t="s">
        <v>39</v>
      </c>
      <c r="H52" s="21" t="s">
        <v>34</v>
      </c>
      <c r="I52" s="21" t="str">
        <f t="shared" si="0"/>
        <v>0x04</v>
      </c>
      <c r="J52" s="20" t="str">
        <f>DEC2HEX((K51-MOD(K51,256))/256)</f>
        <v>4</v>
      </c>
      <c r="K52" s="37"/>
      <c r="L52" s="91" t="s">
        <v>176</v>
      </c>
      <c r="M52" s="91"/>
      <c r="N52" s="91"/>
      <c r="O52" s="91"/>
      <c r="P52" s="91"/>
    </row>
    <row r="53" spans="1:16" s="20" customFormat="1" x14ac:dyDescent="0.3">
      <c r="A53" s="31" t="s">
        <v>93</v>
      </c>
      <c r="B53" s="32" t="s">
        <v>69</v>
      </c>
      <c r="C53" s="32" t="s">
        <v>68</v>
      </c>
      <c r="D53" s="63" t="s">
        <v>140</v>
      </c>
      <c r="E53" s="21" t="s">
        <v>36</v>
      </c>
      <c r="F53" s="21" t="s">
        <v>59</v>
      </c>
      <c r="G53" s="22" t="s">
        <v>37</v>
      </c>
      <c r="H53" s="21" t="s">
        <v>34</v>
      </c>
      <c r="I53" s="21" t="str">
        <f t="shared" si="0"/>
        <v>0x00</v>
      </c>
      <c r="J53" s="20" t="str">
        <f>DEC2HEX(MOD(K53,256))</f>
        <v>0</v>
      </c>
      <c r="K53" s="37">
        <v>0</v>
      </c>
      <c r="L53" s="72" t="s">
        <v>168</v>
      </c>
      <c r="M53" s="72" t="s">
        <v>169</v>
      </c>
      <c r="N53" s="72" t="s">
        <v>171</v>
      </c>
      <c r="O53" s="72" t="s">
        <v>172</v>
      </c>
      <c r="P53" s="72" t="s">
        <v>174</v>
      </c>
    </row>
    <row r="54" spans="1:16" s="20" customFormat="1" x14ac:dyDescent="0.3">
      <c r="A54" s="31" t="s">
        <v>93</v>
      </c>
      <c r="B54" s="32" t="s">
        <v>69</v>
      </c>
      <c r="C54" s="32"/>
      <c r="D54" s="21" t="s">
        <v>140</v>
      </c>
      <c r="E54" s="21" t="s">
        <v>36</v>
      </c>
      <c r="F54" s="21" t="s">
        <v>59</v>
      </c>
      <c r="G54" s="24" t="s">
        <v>39</v>
      </c>
      <c r="H54" s="21" t="s">
        <v>34</v>
      </c>
      <c r="I54" s="21" t="str">
        <f t="shared" si="0"/>
        <v>0x00</v>
      </c>
      <c r="J54" s="20" t="str">
        <f>DEC2HEX((K53-MOD(K53,256))/256)</f>
        <v>0</v>
      </c>
      <c r="K54" s="37"/>
      <c r="L54" s="73">
        <v>6</v>
      </c>
      <c r="M54" s="73">
        <v>36</v>
      </c>
      <c r="N54" s="73">
        <v>1200</v>
      </c>
      <c r="O54" s="73">
        <f>P54-N54-M54-L54</f>
        <v>3</v>
      </c>
      <c r="P54" s="73">
        <v>1245</v>
      </c>
    </row>
    <row r="55" spans="1:16" s="20" customFormat="1" x14ac:dyDescent="0.3">
      <c r="A55" s="31" t="s">
        <v>93</v>
      </c>
      <c r="B55" s="32" t="s">
        <v>72</v>
      </c>
      <c r="C55" s="32" t="s">
        <v>68</v>
      </c>
      <c r="D55" s="21" t="s">
        <v>140</v>
      </c>
      <c r="E55" s="21" t="s">
        <v>36</v>
      </c>
      <c r="F55" s="21" t="s">
        <v>46</v>
      </c>
      <c r="G55" s="22" t="s">
        <v>37</v>
      </c>
      <c r="H55" s="21" t="s">
        <v>34</v>
      </c>
      <c r="I55" s="21" t="str">
        <f t="shared" si="0"/>
        <v>0xC7</v>
      </c>
      <c r="J55" s="20" t="str">
        <f>DEC2HEX(MOD(K55,256))</f>
        <v>C7</v>
      </c>
      <c r="K55" s="37">
        <f>L51-1</f>
        <v>199</v>
      </c>
      <c r="L55" s="91" t="s">
        <v>360</v>
      </c>
      <c r="M55" s="91"/>
      <c r="N55" s="91"/>
      <c r="O55" s="91"/>
      <c r="P55" s="91"/>
    </row>
    <row r="56" spans="1:16" s="20" customFormat="1" x14ac:dyDescent="0.3">
      <c r="A56" s="31" t="s">
        <v>93</v>
      </c>
      <c r="B56" s="32" t="s">
        <v>72</v>
      </c>
      <c r="C56" s="32"/>
      <c r="D56" s="63" t="s">
        <v>140</v>
      </c>
      <c r="E56" s="21" t="s">
        <v>36</v>
      </c>
      <c r="F56" s="21" t="s">
        <v>46</v>
      </c>
      <c r="G56" s="24" t="s">
        <v>39</v>
      </c>
      <c r="H56" s="21" t="s">
        <v>34</v>
      </c>
      <c r="I56" s="21" t="str">
        <f t="shared" si="0"/>
        <v>0x00</v>
      </c>
      <c r="J56" s="20" t="str">
        <f>DEC2HEX((K55-MOD(K55,256))/256)</f>
        <v>0</v>
      </c>
      <c r="K56" s="37"/>
      <c r="L56" s="92">
        <v>60</v>
      </c>
      <c r="M56" s="92"/>
      <c r="N56" s="92"/>
      <c r="O56" s="92"/>
      <c r="P56" s="92"/>
    </row>
    <row r="57" spans="1:16" s="20" customFormat="1" x14ac:dyDescent="0.3">
      <c r="A57" s="31" t="s">
        <v>93</v>
      </c>
      <c r="B57" s="32" t="s">
        <v>73</v>
      </c>
      <c r="C57" s="32" t="s">
        <v>68</v>
      </c>
      <c r="D57" s="21" t="s">
        <v>140</v>
      </c>
      <c r="E57" s="21" t="s">
        <v>36</v>
      </c>
      <c r="F57" s="21" t="s">
        <v>98</v>
      </c>
      <c r="G57" s="22" t="s">
        <v>37</v>
      </c>
      <c r="H57" s="21" t="s">
        <v>34</v>
      </c>
      <c r="I57" s="21" t="str">
        <f t="shared" si="0"/>
        <v>0x00</v>
      </c>
      <c r="J57" s="20" t="str">
        <f>DEC2HEX(MOD(K57,256))</f>
        <v>0</v>
      </c>
      <c r="K57" s="37">
        <v>0</v>
      </c>
      <c r="L57" s="37"/>
    </row>
    <row r="58" spans="1:16" s="20" customFormat="1" x14ac:dyDescent="0.3">
      <c r="A58" s="31" t="s">
        <v>93</v>
      </c>
      <c r="B58" s="32" t="s">
        <v>73</v>
      </c>
      <c r="C58" s="32"/>
      <c r="D58" s="21" t="s">
        <v>140</v>
      </c>
      <c r="E58" s="21" t="s">
        <v>36</v>
      </c>
      <c r="F58" s="21" t="s">
        <v>65</v>
      </c>
      <c r="G58" s="24" t="s">
        <v>39</v>
      </c>
      <c r="H58" s="21" t="s">
        <v>34</v>
      </c>
      <c r="I58" s="21" t="str">
        <f t="shared" si="0"/>
        <v>0x00</v>
      </c>
      <c r="J58" s="20" t="str">
        <f>DEC2HEX((K57-MOD(K57,256))/256)</f>
        <v>0</v>
      </c>
      <c r="K58" s="37"/>
      <c r="L58" s="37"/>
    </row>
    <row r="59" spans="1:16" s="20" customFormat="1" x14ac:dyDescent="0.3">
      <c r="A59" s="31" t="s">
        <v>93</v>
      </c>
      <c r="B59" s="32" t="s">
        <v>74</v>
      </c>
      <c r="C59" s="32" t="s">
        <v>68</v>
      </c>
      <c r="D59" s="63" t="s">
        <v>140</v>
      </c>
      <c r="E59" s="21" t="s">
        <v>36</v>
      </c>
      <c r="F59" s="21" t="s">
        <v>42</v>
      </c>
      <c r="G59" s="22" t="s">
        <v>37</v>
      </c>
      <c r="H59" s="21" t="s">
        <v>34</v>
      </c>
      <c r="I59" s="21" t="str">
        <f t="shared" si="0"/>
        <v>0x05</v>
      </c>
      <c r="J59" s="20" t="str">
        <f>DEC2HEX(MOD(K59,256))</f>
        <v>5</v>
      </c>
      <c r="K59" s="37">
        <f>L54-1</f>
        <v>5</v>
      </c>
      <c r="L59" s="37"/>
    </row>
    <row r="60" spans="1:16" s="20" customFormat="1" x14ac:dyDescent="0.3">
      <c r="A60" s="31" t="s">
        <v>93</v>
      </c>
      <c r="B60" s="32" t="s">
        <v>74</v>
      </c>
      <c r="C60" s="32"/>
      <c r="D60" s="21" t="s">
        <v>140</v>
      </c>
      <c r="E60" s="21" t="s">
        <v>36</v>
      </c>
      <c r="F60" s="21" t="s">
        <v>42</v>
      </c>
      <c r="G60" s="24" t="s">
        <v>39</v>
      </c>
      <c r="H60" s="21" t="s">
        <v>34</v>
      </c>
      <c r="I60" s="21" t="str">
        <f t="shared" si="0"/>
        <v>0x00</v>
      </c>
      <c r="J60" s="20" t="str">
        <f>DEC2HEX((K59-MOD(K59,256))/256)</f>
        <v>0</v>
      </c>
      <c r="K60" s="37"/>
      <c r="L60" s="37"/>
    </row>
    <row r="61" spans="1:16" s="20" customFormat="1" x14ac:dyDescent="0.3">
      <c r="A61" s="31" t="s">
        <v>93</v>
      </c>
      <c r="B61" s="32" t="s">
        <v>76</v>
      </c>
      <c r="C61" s="32" t="s">
        <v>68</v>
      </c>
      <c r="D61" s="21" t="s">
        <v>140</v>
      </c>
      <c r="E61" s="21" t="s">
        <v>36</v>
      </c>
      <c r="F61" s="21" t="s">
        <v>100</v>
      </c>
      <c r="G61" s="22" t="s">
        <v>37</v>
      </c>
      <c r="H61" s="21" t="s">
        <v>34</v>
      </c>
      <c r="I61" s="21" t="str">
        <f t="shared" si="0"/>
        <v>0x18</v>
      </c>
      <c r="J61" s="20" t="str">
        <f>DEC2HEX(MOD(K61,256))</f>
        <v>18</v>
      </c>
      <c r="K61" s="37">
        <f>L51+M51</f>
        <v>536</v>
      </c>
      <c r="L61" s="37"/>
    </row>
    <row r="62" spans="1:16" s="20" customFormat="1" x14ac:dyDescent="0.3">
      <c r="A62" s="31" t="s">
        <v>93</v>
      </c>
      <c r="B62" s="32" t="s">
        <v>77</v>
      </c>
      <c r="C62" s="32"/>
      <c r="D62" s="63" t="s">
        <v>140</v>
      </c>
      <c r="E62" s="21" t="s">
        <v>36</v>
      </c>
      <c r="F62" s="21" t="s">
        <v>100</v>
      </c>
      <c r="G62" s="24" t="s">
        <v>39</v>
      </c>
      <c r="H62" s="21" t="s">
        <v>34</v>
      </c>
      <c r="I62" s="21" t="str">
        <f t="shared" si="0"/>
        <v>0x02</v>
      </c>
      <c r="J62" s="20" t="str">
        <f>DEC2HEX((K61-MOD(K61,256))/256)</f>
        <v>2</v>
      </c>
      <c r="K62" s="37"/>
      <c r="L62" s="37"/>
    </row>
    <row r="63" spans="1:16" s="20" customFormat="1" x14ac:dyDescent="0.3">
      <c r="A63" s="31" t="s">
        <v>93</v>
      </c>
      <c r="B63" s="32" t="s">
        <v>78</v>
      </c>
      <c r="C63" s="32" t="s">
        <v>68</v>
      </c>
      <c r="D63" s="21" t="s">
        <v>140</v>
      </c>
      <c r="E63" s="21" t="s">
        <v>36</v>
      </c>
      <c r="F63" s="21" t="s">
        <v>102</v>
      </c>
      <c r="G63" s="22" t="s">
        <v>37</v>
      </c>
      <c r="H63" s="21" t="s">
        <v>34</v>
      </c>
      <c r="I63" s="21" t="str">
        <f t="shared" si="0"/>
        <v>0x97</v>
      </c>
      <c r="J63" s="20" t="str">
        <f>DEC2HEX(MOD(K63,256))</f>
        <v>97</v>
      </c>
      <c r="K63" s="37">
        <f>L51+M51+N51-1</f>
        <v>2455</v>
      </c>
      <c r="L63" s="37"/>
    </row>
    <row r="64" spans="1:16" s="20" customFormat="1" x14ac:dyDescent="0.3">
      <c r="A64" s="31" t="s">
        <v>93</v>
      </c>
      <c r="B64" s="32" t="s">
        <v>78</v>
      </c>
      <c r="C64" s="32"/>
      <c r="D64" s="21" t="s">
        <v>140</v>
      </c>
      <c r="E64" s="21" t="s">
        <v>36</v>
      </c>
      <c r="F64" s="21" t="s">
        <v>66</v>
      </c>
      <c r="G64" s="24" t="s">
        <v>39</v>
      </c>
      <c r="H64" s="21" t="s">
        <v>34</v>
      </c>
      <c r="I64" s="21" t="str">
        <f t="shared" si="0"/>
        <v>0x09</v>
      </c>
      <c r="J64" s="20" t="str">
        <f>DEC2HEX((K63-MOD(K63,256))/256)</f>
        <v>9</v>
      </c>
      <c r="K64" s="37"/>
      <c r="L64" s="37"/>
    </row>
    <row r="65" spans="1:12" s="20" customFormat="1" x14ac:dyDescent="0.3">
      <c r="A65" s="31" t="s">
        <v>93</v>
      </c>
      <c r="B65" s="32" t="s">
        <v>79</v>
      </c>
      <c r="C65" s="32" t="s">
        <v>68</v>
      </c>
      <c r="D65" s="63" t="s">
        <v>140</v>
      </c>
      <c r="E65" s="21" t="s">
        <v>36</v>
      </c>
      <c r="F65" s="21" t="s">
        <v>67</v>
      </c>
      <c r="G65" s="22" t="s">
        <v>37</v>
      </c>
      <c r="H65" s="21" t="s">
        <v>34</v>
      </c>
      <c r="I65" s="21" t="str">
        <f t="shared" si="0"/>
        <v>0x2A</v>
      </c>
      <c r="J65" s="20" t="str">
        <f>DEC2HEX(MOD(K65,256))</f>
        <v>2A</v>
      </c>
      <c r="K65" s="37">
        <f>L54+M54</f>
        <v>42</v>
      </c>
      <c r="L65" s="37"/>
    </row>
    <row r="66" spans="1:12" s="20" customFormat="1" x14ac:dyDescent="0.3">
      <c r="A66" s="31" t="s">
        <v>93</v>
      </c>
      <c r="B66" s="32" t="s">
        <v>79</v>
      </c>
      <c r="C66" s="32"/>
      <c r="D66" s="21" t="s">
        <v>140</v>
      </c>
      <c r="E66" s="21" t="s">
        <v>36</v>
      </c>
      <c r="F66" s="21" t="s">
        <v>67</v>
      </c>
      <c r="G66" s="24" t="s">
        <v>39</v>
      </c>
      <c r="H66" s="21" t="s">
        <v>34</v>
      </c>
      <c r="I66" s="21" t="str">
        <f t="shared" si="0"/>
        <v>0x00</v>
      </c>
      <c r="J66" s="20" t="str">
        <f>DEC2HEX((K65-MOD(K65,256))/256)</f>
        <v>0</v>
      </c>
      <c r="K66" s="37"/>
      <c r="L66" s="37"/>
    </row>
    <row r="67" spans="1:12" s="20" customFormat="1" x14ac:dyDescent="0.3">
      <c r="A67" s="31" t="s">
        <v>93</v>
      </c>
      <c r="B67" s="32" t="s">
        <v>80</v>
      </c>
      <c r="C67" s="32" t="s">
        <v>68</v>
      </c>
      <c r="D67" s="21" t="s">
        <v>140</v>
      </c>
      <c r="E67" s="21" t="s">
        <v>36</v>
      </c>
      <c r="F67" s="21" t="s">
        <v>316</v>
      </c>
      <c r="G67" s="22" t="s">
        <v>37</v>
      </c>
      <c r="H67" s="21" t="s">
        <v>34</v>
      </c>
      <c r="I67" s="21" t="str">
        <f t="shared" si="0"/>
        <v>0xD9</v>
      </c>
      <c r="J67" s="20" t="str">
        <f>DEC2HEX(MOD(K67,256))</f>
        <v>D9</v>
      </c>
      <c r="K67" s="37">
        <f>L54+M54+N54-1</f>
        <v>1241</v>
      </c>
      <c r="L67" s="37"/>
    </row>
    <row r="68" spans="1:12" s="20" customFormat="1" x14ac:dyDescent="0.3">
      <c r="A68" s="31" t="s">
        <v>93</v>
      </c>
      <c r="B68" s="32" t="s">
        <v>80</v>
      </c>
      <c r="C68" s="32"/>
      <c r="D68" s="63" t="s">
        <v>140</v>
      </c>
      <c r="E68" s="21" t="s">
        <v>36</v>
      </c>
      <c r="F68" s="21" t="s">
        <v>317</v>
      </c>
      <c r="G68" s="24" t="s">
        <v>39</v>
      </c>
      <c r="H68" s="21" t="s">
        <v>34</v>
      </c>
      <c r="I68" s="21" t="str">
        <f t="shared" si="0"/>
        <v>0x04</v>
      </c>
      <c r="J68" s="20" t="str">
        <f>DEC2HEX((K67-MOD(K67,256))/256)</f>
        <v>4</v>
      </c>
      <c r="K68" s="37"/>
      <c r="L68" s="37"/>
    </row>
    <row r="69" spans="1:12" s="20" customFormat="1" x14ac:dyDescent="0.3">
      <c r="A69" s="31" t="s">
        <v>93</v>
      </c>
      <c r="B69" s="55" t="s">
        <v>105</v>
      </c>
      <c r="C69" s="32" t="s">
        <v>68</v>
      </c>
      <c r="D69" s="21" t="s">
        <v>140</v>
      </c>
      <c r="E69" s="21" t="s">
        <v>36</v>
      </c>
      <c r="F69" s="21" t="s">
        <v>309</v>
      </c>
      <c r="G69" s="22" t="s">
        <v>37</v>
      </c>
      <c r="H69" s="21" t="s">
        <v>34</v>
      </c>
      <c r="I69" s="21" t="str">
        <f t="shared" si="0"/>
        <v>0x18</v>
      </c>
      <c r="J69" s="20" t="str">
        <f>J61</f>
        <v>18</v>
      </c>
      <c r="K69" s="37"/>
      <c r="L69" s="37"/>
    </row>
    <row r="70" spans="1:12" s="20" customFormat="1" x14ac:dyDescent="0.3">
      <c r="A70" s="31" t="s">
        <v>93</v>
      </c>
      <c r="B70" s="55" t="s">
        <v>105</v>
      </c>
      <c r="C70" s="32"/>
      <c r="D70" s="21" t="s">
        <v>140</v>
      </c>
      <c r="E70" s="21" t="s">
        <v>36</v>
      </c>
      <c r="F70" s="21" t="s">
        <v>309</v>
      </c>
      <c r="G70" s="24" t="s">
        <v>39</v>
      </c>
      <c r="H70" s="21" t="s">
        <v>34</v>
      </c>
      <c r="I70" s="21" t="str">
        <f t="shared" si="0"/>
        <v>0x02</v>
      </c>
      <c r="J70" s="20" t="str">
        <f t="shared" ref="J70:J76" si="1">J62</f>
        <v>2</v>
      </c>
      <c r="K70" s="37"/>
      <c r="L70" s="37"/>
    </row>
    <row r="71" spans="1:12" s="20" customFormat="1" x14ac:dyDescent="0.3">
      <c r="A71" s="31" t="s">
        <v>93</v>
      </c>
      <c r="B71" s="55" t="s">
        <v>106</v>
      </c>
      <c r="C71" s="32" t="s">
        <v>68</v>
      </c>
      <c r="D71" s="63" t="s">
        <v>140</v>
      </c>
      <c r="E71" s="21" t="s">
        <v>36</v>
      </c>
      <c r="F71" s="21" t="s">
        <v>305</v>
      </c>
      <c r="G71" s="22" t="s">
        <v>37</v>
      </c>
      <c r="H71" s="21" t="s">
        <v>34</v>
      </c>
      <c r="I71" s="21" t="str">
        <f t="shared" si="0"/>
        <v>0x97</v>
      </c>
      <c r="J71" s="20" t="str">
        <f t="shared" si="1"/>
        <v>97</v>
      </c>
      <c r="K71" s="37"/>
      <c r="L71" s="37"/>
    </row>
    <row r="72" spans="1:12" s="20" customFormat="1" x14ac:dyDescent="0.3">
      <c r="A72" s="31" t="s">
        <v>93</v>
      </c>
      <c r="B72" s="55" t="s">
        <v>106</v>
      </c>
      <c r="C72" s="32"/>
      <c r="D72" s="21" t="s">
        <v>140</v>
      </c>
      <c r="E72" s="21" t="s">
        <v>36</v>
      </c>
      <c r="F72" s="21" t="s">
        <v>307</v>
      </c>
      <c r="G72" s="24" t="s">
        <v>39</v>
      </c>
      <c r="H72" s="21" t="s">
        <v>34</v>
      </c>
      <c r="I72" s="21" t="str">
        <f t="shared" si="0"/>
        <v>0x09</v>
      </c>
      <c r="J72" s="20" t="str">
        <f t="shared" si="1"/>
        <v>9</v>
      </c>
      <c r="K72" s="37"/>
      <c r="L72" s="37"/>
    </row>
    <row r="73" spans="1:12" s="20" customFormat="1" x14ac:dyDescent="0.3">
      <c r="A73" s="31" t="s">
        <v>93</v>
      </c>
      <c r="B73" s="55" t="s">
        <v>107</v>
      </c>
      <c r="C73" s="32" t="s">
        <v>68</v>
      </c>
      <c r="D73" s="21" t="s">
        <v>140</v>
      </c>
      <c r="E73" s="21" t="s">
        <v>36</v>
      </c>
      <c r="F73" s="21" t="s">
        <v>300</v>
      </c>
      <c r="G73" s="22" t="s">
        <v>37</v>
      </c>
      <c r="H73" s="21" t="s">
        <v>34</v>
      </c>
      <c r="I73" s="21" t="str">
        <f t="shared" si="0"/>
        <v>0x2A</v>
      </c>
      <c r="J73" s="20" t="str">
        <f t="shared" si="1"/>
        <v>2A</v>
      </c>
      <c r="K73" s="37"/>
      <c r="L73" s="37"/>
    </row>
    <row r="74" spans="1:12" s="20" customFormat="1" x14ac:dyDescent="0.3">
      <c r="A74" s="31" t="s">
        <v>93</v>
      </c>
      <c r="B74" s="55" t="s">
        <v>107</v>
      </c>
      <c r="C74" s="32"/>
      <c r="D74" s="63" t="s">
        <v>140</v>
      </c>
      <c r="E74" s="21" t="s">
        <v>36</v>
      </c>
      <c r="F74" s="21" t="s">
        <v>300</v>
      </c>
      <c r="G74" s="24" t="s">
        <v>39</v>
      </c>
      <c r="H74" s="21" t="s">
        <v>34</v>
      </c>
      <c r="I74" s="21" t="str">
        <f t="shared" si="0"/>
        <v>0x00</v>
      </c>
      <c r="J74" s="20" t="str">
        <f t="shared" si="1"/>
        <v>0</v>
      </c>
      <c r="K74" s="37"/>
      <c r="L74" s="37"/>
    </row>
    <row r="75" spans="1:12" s="20" customFormat="1" x14ac:dyDescent="0.3">
      <c r="A75" s="31" t="s">
        <v>93</v>
      </c>
      <c r="B75" s="55" t="s">
        <v>109</v>
      </c>
      <c r="C75" s="32" t="s">
        <v>68</v>
      </c>
      <c r="D75" s="21" t="s">
        <v>140</v>
      </c>
      <c r="E75" s="21" t="s">
        <v>36</v>
      </c>
      <c r="F75" s="21" t="s">
        <v>44</v>
      </c>
      <c r="G75" s="22" t="s">
        <v>37</v>
      </c>
      <c r="H75" s="21" t="s">
        <v>34</v>
      </c>
      <c r="I75" s="21" t="str">
        <f t="shared" si="0"/>
        <v>0xD9</v>
      </c>
      <c r="J75" s="20" t="str">
        <f t="shared" si="1"/>
        <v>D9</v>
      </c>
      <c r="K75" s="37"/>
      <c r="L75" s="37"/>
    </row>
    <row r="76" spans="1:12" s="20" customFormat="1" x14ac:dyDescent="0.3">
      <c r="A76" s="31" t="s">
        <v>93</v>
      </c>
      <c r="B76" s="55" t="s">
        <v>109</v>
      </c>
      <c r="C76" s="32"/>
      <c r="D76" s="21" t="s">
        <v>140</v>
      </c>
      <c r="E76" s="21" t="s">
        <v>36</v>
      </c>
      <c r="F76" s="21" t="s">
        <v>44</v>
      </c>
      <c r="G76" s="24" t="s">
        <v>39</v>
      </c>
      <c r="H76" s="21" t="s">
        <v>34</v>
      </c>
      <c r="I76" s="21" t="str">
        <f t="shared" si="0"/>
        <v>0x04</v>
      </c>
      <c r="J76" s="20" t="str">
        <f t="shared" si="1"/>
        <v>4</v>
      </c>
      <c r="K76" s="37"/>
      <c r="L76" s="37"/>
    </row>
    <row r="77" spans="1:12" s="20" customFormat="1" x14ac:dyDescent="0.3">
      <c r="A77" s="31" t="s">
        <v>93</v>
      </c>
      <c r="B77" s="32" t="s">
        <v>111</v>
      </c>
      <c r="C77" s="32" t="s">
        <v>68</v>
      </c>
      <c r="D77" s="63" t="s">
        <v>140</v>
      </c>
      <c r="E77" s="21" t="s">
        <v>36</v>
      </c>
      <c r="F77" s="21" t="s">
        <v>115</v>
      </c>
      <c r="G77" s="22" t="s">
        <v>37</v>
      </c>
      <c r="H77" s="21" t="s">
        <v>34</v>
      </c>
      <c r="I77" s="21" t="str">
        <f t="shared" si="0"/>
        <v>0x00</v>
      </c>
      <c r="J77" s="20" t="str">
        <f>J53</f>
        <v>0</v>
      </c>
      <c r="K77" s="37"/>
      <c r="L77" s="37"/>
    </row>
    <row r="78" spans="1:12" s="20" customFormat="1" x14ac:dyDescent="0.3">
      <c r="A78" s="31" t="s">
        <v>93</v>
      </c>
      <c r="B78" s="32" t="s">
        <v>111</v>
      </c>
      <c r="C78" s="32"/>
      <c r="D78" s="21" t="s">
        <v>140</v>
      </c>
      <c r="E78" s="21" t="s">
        <v>36</v>
      </c>
      <c r="F78" s="21" t="s">
        <v>115</v>
      </c>
      <c r="G78" s="24" t="s">
        <v>39</v>
      </c>
      <c r="H78" s="21" t="s">
        <v>34</v>
      </c>
      <c r="I78" s="21" t="str">
        <f t="shared" si="0"/>
        <v>0x00</v>
      </c>
      <c r="J78" s="20" t="str">
        <f t="shared" ref="J78:J80" si="2">J54</f>
        <v>0</v>
      </c>
      <c r="K78" s="37"/>
      <c r="L78" s="37"/>
    </row>
    <row r="79" spans="1:12" s="20" customFormat="1" x14ac:dyDescent="0.3">
      <c r="A79" s="31" t="s">
        <v>93</v>
      </c>
      <c r="B79" s="32" t="s">
        <v>113</v>
      </c>
      <c r="C79" s="32" t="s">
        <v>68</v>
      </c>
      <c r="D79" s="21" t="s">
        <v>140</v>
      </c>
      <c r="E79" s="21" t="s">
        <v>36</v>
      </c>
      <c r="F79" s="21" t="s">
        <v>48</v>
      </c>
      <c r="G79" s="22" t="s">
        <v>37</v>
      </c>
      <c r="H79" s="21" t="s">
        <v>34</v>
      </c>
      <c r="I79" s="21" t="str">
        <f t="shared" si="0"/>
        <v>0xC7</v>
      </c>
      <c r="J79" s="20" t="str">
        <f t="shared" si="2"/>
        <v>C7</v>
      </c>
      <c r="K79" s="37"/>
      <c r="L79" s="37"/>
    </row>
    <row r="80" spans="1:12" s="20" customFormat="1" x14ac:dyDescent="0.3">
      <c r="A80" s="31" t="s">
        <v>93</v>
      </c>
      <c r="B80" s="32" t="s">
        <v>113</v>
      </c>
      <c r="C80" s="32"/>
      <c r="D80" s="63" t="s">
        <v>140</v>
      </c>
      <c r="E80" s="21" t="s">
        <v>36</v>
      </c>
      <c r="F80" s="21" t="s">
        <v>48</v>
      </c>
      <c r="G80" s="24" t="s">
        <v>39</v>
      </c>
      <c r="H80" s="21" t="s">
        <v>34</v>
      </c>
      <c r="I80" s="21" t="str">
        <f t="shared" si="0"/>
        <v>0x00</v>
      </c>
      <c r="J80" s="20" t="str">
        <f t="shared" si="2"/>
        <v>0</v>
      </c>
      <c r="K80" s="37"/>
      <c r="L80" s="37"/>
    </row>
    <row r="81" spans="1:12" s="20" customFormat="1" x14ac:dyDescent="0.3">
      <c r="A81" s="31" t="s">
        <v>93</v>
      </c>
      <c r="B81" s="32" t="s">
        <v>118</v>
      </c>
      <c r="C81" s="32" t="s">
        <v>68</v>
      </c>
      <c r="D81" s="21" t="s">
        <v>140</v>
      </c>
      <c r="E81" s="21" t="s">
        <v>36</v>
      </c>
      <c r="F81" s="21" t="s">
        <v>125</v>
      </c>
      <c r="G81" s="22" t="s">
        <v>37</v>
      </c>
      <c r="H81" s="21" t="s">
        <v>34</v>
      </c>
      <c r="I81" s="21" t="str">
        <f t="shared" si="0"/>
        <v>0x18</v>
      </c>
      <c r="J81" s="20" t="str">
        <f>J61</f>
        <v>18</v>
      </c>
      <c r="K81" s="37"/>
      <c r="L81" s="37"/>
    </row>
    <row r="82" spans="1:12" s="20" customFormat="1" x14ac:dyDescent="0.3">
      <c r="A82" s="31" t="s">
        <v>93</v>
      </c>
      <c r="B82" s="32" t="s">
        <v>118</v>
      </c>
      <c r="C82" s="32"/>
      <c r="D82" s="21" t="s">
        <v>140</v>
      </c>
      <c r="E82" s="21" t="s">
        <v>36</v>
      </c>
      <c r="F82" s="21" t="s">
        <v>126</v>
      </c>
      <c r="G82" s="24" t="s">
        <v>39</v>
      </c>
      <c r="H82" s="21" t="s">
        <v>34</v>
      </c>
      <c r="I82" s="21" t="str">
        <f t="shared" si="0"/>
        <v>0x02</v>
      </c>
      <c r="J82" s="20" t="str">
        <f t="shared" ref="J82:J88" si="3">J62</f>
        <v>2</v>
      </c>
      <c r="K82" s="37"/>
      <c r="L82" s="37"/>
    </row>
    <row r="83" spans="1:12" s="20" customFormat="1" x14ac:dyDescent="0.3">
      <c r="A83" s="31" t="s">
        <v>93</v>
      </c>
      <c r="B83" s="32" t="s">
        <v>120</v>
      </c>
      <c r="C83" s="32" t="s">
        <v>68</v>
      </c>
      <c r="D83" s="63" t="s">
        <v>140</v>
      </c>
      <c r="E83" s="21" t="s">
        <v>36</v>
      </c>
      <c r="F83" s="21" t="s">
        <v>127</v>
      </c>
      <c r="G83" s="22" t="s">
        <v>37</v>
      </c>
      <c r="H83" s="21" t="s">
        <v>34</v>
      </c>
      <c r="I83" s="21" t="str">
        <f t="shared" si="0"/>
        <v>0x97</v>
      </c>
      <c r="J83" s="20" t="str">
        <f t="shared" si="3"/>
        <v>97</v>
      </c>
      <c r="K83" s="37"/>
      <c r="L83" s="37"/>
    </row>
    <row r="84" spans="1:12" s="20" customFormat="1" x14ac:dyDescent="0.3">
      <c r="A84" s="31" t="s">
        <v>93</v>
      </c>
      <c r="B84" s="32" t="s">
        <v>120</v>
      </c>
      <c r="C84" s="32"/>
      <c r="D84" s="21" t="s">
        <v>140</v>
      </c>
      <c r="E84" s="21" t="s">
        <v>36</v>
      </c>
      <c r="F84" s="21" t="s">
        <v>127</v>
      </c>
      <c r="G84" s="24" t="s">
        <v>39</v>
      </c>
      <c r="H84" s="21" t="s">
        <v>34</v>
      </c>
      <c r="I84" s="21" t="str">
        <f t="shared" si="0"/>
        <v>0x09</v>
      </c>
      <c r="J84" s="20" t="str">
        <f t="shared" si="3"/>
        <v>9</v>
      </c>
      <c r="K84" s="37"/>
      <c r="L84" s="37"/>
    </row>
    <row r="85" spans="1:12" s="20" customFormat="1" x14ac:dyDescent="0.3">
      <c r="A85" s="31" t="s">
        <v>93</v>
      </c>
      <c r="B85" s="32" t="s">
        <v>122</v>
      </c>
      <c r="C85" s="32" t="s">
        <v>68</v>
      </c>
      <c r="D85" s="21" t="s">
        <v>140</v>
      </c>
      <c r="E85" s="21" t="s">
        <v>36</v>
      </c>
      <c r="F85" s="21" t="s">
        <v>128</v>
      </c>
      <c r="G85" s="22" t="s">
        <v>37</v>
      </c>
      <c r="H85" s="21" t="s">
        <v>34</v>
      </c>
      <c r="I85" s="21" t="str">
        <f t="shared" si="0"/>
        <v>0x2A</v>
      </c>
      <c r="J85" s="20" t="str">
        <f t="shared" si="3"/>
        <v>2A</v>
      </c>
      <c r="K85" s="37"/>
      <c r="L85" s="37"/>
    </row>
    <row r="86" spans="1:12" s="20" customFormat="1" x14ac:dyDescent="0.3">
      <c r="A86" s="31" t="s">
        <v>93</v>
      </c>
      <c r="B86" s="32" t="s">
        <v>122</v>
      </c>
      <c r="C86" s="32"/>
      <c r="D86" s="63" t="s">
        <v>140</v>
      </c>
      <c r="E86" s="21" t="s">
        <v>36</v>
      </c>
      <c r="F86" s="21" t="s">
        <v>84</v>
      </c>
      <c r="G86" s="24" t="s">
        <v>39</v>
      </c>
      <c r="H86" s="21" t="s">
        <v>34</v>
      </c>
      <c r="I86" s="21" t="str">
        <f t="shared" si="0"/>
        <v>0x00</v>
      </c>
      <c r="J86" s="20" t="str">
        <f t="shared" si="3"/>
        <v>0</v>
      </c>
      <c r="K86" s="37"/>
      <c r="L86" s="37"/>
    </row>
    <row r="87" spans="1:12" s="20" customFormat="1" x14ac:dyDescent="0.3">
      <c r="A87" s="31" t="s">
        <v>93</v>
      </c>
      <c r="B87" s="32" t="s">
        <v>123</v>
      </c>
      <c r="C87" s="32" t="s">
        <v>68</v>
      </c>
      <c r="D87" s="21" t="s">
        <v>140</v>
      </c>
      <c r="E87" s="21" t="s">
        <v>36</v>
      </c>
      <c r="F87" s="21" t="s">
        <v>295</v>
      </c>
      <c r="G87" s="22" t="s">
        <v>37</v>
      </c>
      <c r="H87" s="21" t="s">
        <v>34</v>
      </c>
      <c r="I87" s="21" t="str">
        <f t="shared" si="0"/>
        <v>0xD9</v>
      </c>
      <c r="J87" s="20" t="str">
        <f t="shared" si="3"/>
        <v>D9</v>
      </c>
      <c r="K87" s="37"/>
      <c r="L87" s="37"/>
    </row>
    <row r="88" spans="1:12" s="20" customFormat="1" x14ac:dyDescent="0.3">
      <c r="A88" s="31" t="s">
        <v>93</v>
      </c>
      <c r="B88" s="32" t="s">
        <v>123</v>
      </c>
      <c r="C88" s="32"/>
      <c r="D88" s="21" t="s">
        <v>140</v>
      </c>
      <c r="E88" s="21" t="s">
        <v>36</v>
      </c>
      <c r="F88" s="21" t="s">
        <v>295</v>
      </c>
      <c r="G88" s="24" t="s">
        <v>39</v>
      </c>
      <c r="H88" s="21" t="s">
        <v>34</v>
      </c>
      <c r="I88" s="21" t="str">
        <f t="shared" si="0"/>
        <v>0x04</v>
      </c>
      <c r="J88" s="20" t="str">
        <f t="shared" si="3"/>
        <v>4</v>
      </c>
      <c r="K88" s="37"/>
      <c r="L88" s="37"/>
    </row>
    <row r="89" spans="1:12" s="20" customFormat="1" x14ac:dyDescent="0.3">
      <c r="A89" s="31" t="s">
        <v>151</v>
      </c>
      <c r="B89" s="32" t="s">
        <v>154</v>
      </c>
      <c r="C89" s="32"/>
      <c r="D89" s="63" t="s">
        <v>140</v>
      </c>
      <c r="E89" s="21" t="s">
        <v>36</v>
      </c>
      <c r="F89" s="21" t="s">
        <v>56</v>
      </c>
      <c r="G89" s="22" t="s">
        <v>37</v>
      </c>
      <c r="H89" s="21" t="s">
        <v>34</v>
      </c>
      <c r="I89" s="21" t="s">
        <v>155</v>
      </c>
      <c r="K89" s="37"/>
      <c r="L89" s="37"/>
    </row>
    <row r="90" spans="1:12" s="20" customFormat="1" x14ac:dyDescent="0.3">
      <c r="A90" s="31" t="s">
        <v>151</v>
      </c>
      <c r="B90" s="32" t="s">
        <v>154</v>
      </c>
      <c r="C90" s="32"/>
      <c r="D90" s="21" t="s">
        <v>140</v>
      </c>
      <c r="E90" s="21" t="s">
        <v>36</v>
      </c>
      <c r="F90" s="21" t="s">
        <v>56</v>
      </c>
      <c r="G90" s="24" t="s">
        <v>39</v>
      </c>
      <c r="H90" s="21" t="s">
        <v>34</v>
      </c>
      <c r="I90" s="21" t="s">
        <v>156</v>
      </c>
      <c r="K90" s="37"/>
      <c r="L90" s="37"/>
    </row>
    <row r="91" spans="1:12" s="20" customFormat="1" x14ac:dyDescent="0.3">
      <c r="A91" s="31" t="s">
        <v>152</v>
      </c>
      <c r="B91" s="55" t="s">
        <v>153</v>
      </c>
      <c r="C91" s="32"/>
      <c r="D91" s="21" t="s">
        <v>139</v>
      </c>
      <c r="E91" s="21" t="s">
        <v>36</v>
      </c>
      <c r="F91" s="21" t="s">
        <v>82</v>
      </c>
      <c r="G91" s="22" t="s">
        <v>37</v>
      </c>
      <c r="H91" s="21" t="s">
        <v>34</v>
      </c>
      <c r="I91" s="21" t="s">
        <v>38</v>
      </c>
      <c r="K91" s="37"/>
      <c r="L91" s="37"/>
    </row>
    <row r="92" spans="1:12" s="20" customFormat="1" x14ac:dyDescent="0.3">
      <c r="A92" s="31" t="s">
        <v>151</v>
      </c>
      <c r="B92" s="55" t="s">
        <v>130</v>
      </c>
      <c r="C92" s="32" t="s">
        <v>131</v>
      </c>
      <c r="D92" s="21" t="s">
        <v>139</v>
      </c>
      <c r="E92" s="21" t="s">
        <v>36</v>
      </c>
      <c r="F92" s="21" t="s">
        <v>85</v>
      </c>
      <c r="G92" s="22" t="s">
        <v>37</v>
      </c>
      <c r="H92" s="21" t="s">
        <v>34</v>
      </c>
      <c r="I92" s="21" t="s">
        <v>38</v>
      </c>
      <c r="K92" s="37"/>
      <c r="L92" s="37"/>
    </row>
  </sheetData>
  <protectedRanges>
    <protectedRange password="EBC5" sqref="I46" name="範圍1_3_3_1_1_1_2_1_1_2_2_1_1"/>
    <protectedRange password="EBC5" sqref="I36 I28:I29" name="範圍1_3_3_1_1_1_2_1_1_2_1_3"/>
    <protectedRange password="EBC5" sqref="I49:I88" name="範圍1_3_3_1_1_1_2_1_1_2_1_2"/>
    <protectedRange password="EBC5" sqref="I4:I6" name="範圍1_3_3_1_1_1_2_1_1_2_3"/>
    <protectedRange password="EBC5" sqref="I91:I92" name="範圍1_3_3_1_1_1_2_1_1_2_2_1"/>
    <protectedRange password="EBC5" sqref="I89:I90" name="範圍1_3_3_1_1_1_2_1_1_2_1_2_1"/>
    <protectedRange password="EBC5" sqref="I3 I7:I8" name="範圍1_3_3_1_1_1_2_1_1_2"/>
    <protectedRange password="EBC5" sqref="I35 I39:I45" name="範圍1_3_3_1_1_1_2_1_1_2_1"/>
    <protectedRange password="EBC5" sqref="I11:I16" name="範圍1_3_3_1_1_1_2_1_1_2_2_4_1"/>
    <protectedRange password="EBC5" sqref="I17:I24" name="範圍1_3_3_1_1_1_2_1_1_2_2_1_1_1_1"/>
    <protectedRange password="EBC5" sqref="I25:I27" name="範圍1_3_3_1_1_1_2_1_1_2_2_2_1_1_1"/>
    <protectedRange password="EBC5" sqref="I32:I34" name="範圍1_3_3_1_1_1_2_1_1_2_4_1"/>
  </protectedRanges>
  <mergeCells count="9">
    <mergeCell ref="L52:P52"/>
    <mergeCell ref="L55:P55"/>
    <mergeCell ref="L56:P56"/>
    <mergeCell ref="A1:C1"/>
    <mergeCell ref="A9:C9"/>
    <mergeCell ref="A30:C30"/>
    <mergeCell ref="A37:C37"/>
    <mergeCell ref="A47:C47"/>
    <mergeCell ref="L49:P49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E19" sqref="E19"/>
    </sheetView>
  </sheetViews>
  <sheetFormatPr defaultRowHeight="16.2" x14ac:dyDescent="0.3"/>
  <cols>
    <col min="1" max="1" width="13.44140625" customWidth="1"/>
    <col min="2" max="2" width="17.77734375" customWidth="1"/>
  </cols>
  <sheetData>
    <row r="1" spans="1:2" x14ac:dyDescent="0.3">
      <c r="A1" s="25" t="s">
        <v>19</v>
      </c>
      <c r="B1" s="26">
        <v>44166.733564814815</v>
      </c>
    </row>
    <row r="2" spans="1:2" x14ac:dyDescent="0.3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10"/>
  <sheetViews>
    <sheetView workbookViewId="0">
      <selection activeCell="A4" sqref="A4"/>
    </sheetView>
  </sheetViews>
  <sheetFormatPr defaultRowHeight="16.2" x14ac:dyDescent="0.3"/>
  <cols>
    <col min="1" max="1" width="34.44140625" bestFit="1" customWidth="1"/>
    <col min="2" max="2" width="12.77734375" customWidth="1"/>
  </cols>
  <sheetData>
    <row r="1" spans="1:2" ht="27" customHeight="1" x14ac:dyDescent="0.3">
      <c r="A1" s="28" t="s">
        <v>22</v>
      </c>
      <c r="B1" s="29" t="s">
        <v>27</v>
      </c>
    </row>
    <row r="2" spans="1:2" ht="27" customHeight="1" x14ac:dyDescent="0.3">
      <c r="A2" s="38" t="s">
        <v>257</v>
      </c>
      <c r="B2" s="27" t="s">
        <v>258</v>
      </c>
    </row>
    <row r="3" spans="1:2" ht="20.399999999999999" x14ac:dyDescent="0.3">
      <c r="A3" s="38" t="s">
        <v>163</v>
      </c>
      <c r="B3" s="27" t="s">
        <v>24</v>
      </c>
    </row>
    <row r="4" spans="1:2" ht="20.399999999999999" x14ac:dyDescent="0.3">
      <c r="A4" s="38" t="s">
        <v>343</v>
      </c>
      <c r="B4" s="27" t="s">
        <v>280</v>
      </c>
    </row>
    <row r="5" spans="1:2" ht="20.399999999999999" x14ac:dyDescent="0.3">
      <c r="A5" s="38" t="s">
        <v>337</v>
      </c>
      <c r="B5" s="27" t="s">
        <v>280</v>
      </c>
    </row>
    <row r="6" spans="1:2" ht="20.399999999999999" x14ac:dyDescent="0.3">
      <c r="A6" s="38" t="s">
        <v>167</v>
      </c>
      <c r="B6" s="27" t="s">
        <v>330</v>
      </c>
    </row>
    <row r="7" spans="1:2" ht="20.399999999999999" x14ac:dyDescent="0.3">
      <c r="A7" s="12"/>
      <c r="B7" s="12"/>
    </row>
    <row r="8" spans="1:2" ht="20.399999999999999" x14ac:dyDescent="0.3">
      <c r="A8" s="12"/>
      <c r="B8" s="12"/>
    </row>
    <row r="9" spans="1:2" ht="20.399999999999999" x14ac:dyDescent="0.3">
      <c r="A9" s="12"/>
      <c r="B9" s="12"/>
    </row>
    <row r="10" spans="1:2" ht="20.399999999999999" x14ac:dyDescent="0.3">
      <c r="A10" s="12"/>
      <c r="B10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23"/>
  <sheetViews>
    <sheetView workbookViewId="0">
      <selection activeCell="G13" sqref="G13"/>
    </sheetView>
  </sheetViews>
  <sheetFormatPr defaultRowHeight="16.2" x14ac:dyDescent="0.3"/>
  <cols>
    <col min="1" max="1" width="34.44140625" bestFit="1" customWidth="1"/>
    <col min="2" max="2" width="19.44140625" customWidth="1"/>
  </cols>
  <sheetData>
    <row r="1" spans="1:2" ht="20.399999999999999" x14ac:dyDescent="0.3">
      <c r="A1" s="28" t="s">
        <v>30</v>
      </c>
      <c r="B1" s="29" t="s">
        <v>31</v>
      </c>
    </row>
    <row r="2" spans="1:2" ht="20.399999999999999" x14ac:dyDescent="0.3">
      <c r="A2" s="41" t="s">
        <v>236</v>
      </c>
      <c r="B2" s="42" t="s">
        <v>32</v>
      </c>
    </row>
    <row r="3" spans="1:2" ht="20.399999999999999" x14ac:dyDescent="0.3">
      <c r="A3" s="41" t="s">
        <v>237</v>
      </c>
      <c r="B3" s="42" t="s">
        <v>32</v>
      </c>
    </row>
    <row r="4" spans="1:2" ht="20.399999999999999" x14ac:dyDescent="0.3">
      <c r="A4" s="41" t="s">
        <v>238</v>
      </c>
      <c r="B4" s="42" t="s">
        <v>32</v>
      </c>
    </row>
    <row r="5" spans="1:2" ht="20.399999999999999" x14ac:dyDescent="0.3">
      <c r="A5" s="41" t="s">
        <v>239</v>
      </c>
      <c r="B5" s="42" t="s">
        <v>32</v>
      </c>
    </row>
    <row r="6" spans="1:2" ht="20.399999999999999" x14ac:dyDescent="0.3">
      <c r="A6" s="41" t="s">
        <v>531</v>
      </c>
      <c r="B6" s="42" t="s">
        <v>32</v>
      </c>
    </row>
    <row r="7" spans="1:2" ht="20.399999999999999" x14ac:dyDescent="0.3">
      <c r="A7" s="41" t="s">
        <v>281</v>
      </c>
      <c r="B7" s="42" t="s">
        <v>32</v>
      </c>
    </row>
    <row r="8" spans="1:2" ht="20.399999999999999" x14ac:dyDescent="0.3">
      <c r="A8" s="41" t="s">
        <v>282</v>
      </c>
      <c r="B8" s="42" t="s">
        <v>32</v>
      </c>
    </row>
    <row r="9" spans="1:2" ht="20.399999999999999" x14ac:dyDescent="0.3">
      <c r="A9" s="41" t="s">
        <v>240</v>
      </c>
      <c r="B9" s="42" t="s">
        <v>32</v>
      </c>
    </row>
    <row r="10" spans="1:2" ht="20.399999999999999" x14ac:dyDescent="0.3">
      <c r="A10" s="41" t="s">
        <v>532</v>
      </c>
      <c r="B10" s="42" t="s">
        <v>32</v>
      </c>
    </row>
    <row r="11" spans="1:2" ht="20.399999999999999" x14ac:dyDescent="0.3">
      <c r="A11" s="41" t="s">
        <v>241</v>
      </c>
      <c r="B11" s="42" t="s">
        <v>32</v>
      </c>
    </row>
    <row r="12" spans="1:2" ht="20.399999999999999" x14ac:dyDescent="0.3">
      <c r="A12" s="41" t="s">
        <v>242</v>
      </c>
      <c r="B12" s="42" t="s">
        <v>32</v>
      </c>
    </row>
    <row r="13" spans="1:2" ht="20.399999999999999" x14ac:dyDescent="0.3">
      <c r="A13" s="41" t="s">
        <v>533</v>
      </c>
      <c r="B13" s="42" t="s">
        <v>32</v>
      </c>
    </row>
    <row r="14" spans="1:2" ht="20.399999999999999" x14ac:dyDescent="0.3">
      <c r="A14" s="41" t="s">
        <v>283</v>
      </c>
      <c r="B14" s="42" t="s">
        <v>32</v>
      </c>
    </row>
    <row r="15" spans="1:2" ht="20.399999999999999" x14ac:dyDescent="0.3">
      <c r="A15" s="41" t="s">
        <v>284</v>
      </c>
      <c r="B15" s="42" t="s">
        <v>32</v>
      </c>
    </row>
    <row r="16" spans="1:2" ht="20.399999999999999" x14ac:dyDescent="0.3">
      <c r="A16" s="41" t="s">
        <v>243</v>
      </c>
      <c r="B16" s="42" t="s">
        <v>32</v>
      </c>
    </row>
    <row r="17" spans="1:2" ht="20.399999999999999" x14ac:dyDescent="0.3">
      <c r="A17" s="41" t="s">
        <v>247</v>
      </c>
      <c r="B17" s="42" t="s">
        <v>32</v>
      </c>
    </row>
    <row r="18" spans="1:2" ht="20.399999999999999" x14ac:dyDescent="0.3">
      <c r="A18" s="41" t="s">
        <v>244</v>
      </c>
      <c r="B18" s="42" t="s">
        <v>32</v>
      </c>
    </row>
    <row r="19" spans="1:2" ht="20.399999999999999" x14ac:dyDescent="0.3">
      <c r="A19" s="41" t="s">
        <v>245</v>
      </c>
      <c r="B19" s="42" t="s">
        <v>32</v>
      </c>
    </row>
    <row r="20" spans="1:2" ht="20.399999999999999" x14ac:dyDescent="0.3">
      <c r="A20" s="41" t="s">
        <v>246</v>
      </c>
      <c r="B20" s="42" t="s">
        <v>32</v>
      </c>
    </row>
    <row r="21" spans="1:2" ht="20.399999999999999" x14ac:dyDescent="0.3">
      <c r="A21" s="41" t="s">
        <v>248</v>
      </c>
      <c r="B21" s="42" t="s">
        <v>32</v>
      </c>
    </row>
    <row r="22" spans="1:2" ht="20.399999999999999" x14ac:dyDescent="0.3">
      <c r="A22" s="41" t="s">
        <v>249</v>
      </c>
      <c r="B22" s="42" t="s">
        <v>32</v>
      </c>
    </row>
    <row r="23" spans="1:2" ht="20.399999999999999" x14ac:dyDescent="0.3">
      <c r="A23" s="41" t="s">
        <v>361</v>
      </c>
      <c r="B23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Main</vt:lpstr>
      <vt:lpstr>480_60P</vt:lpstr>
      <vt:lpstr>576_50P</vt:lpstr>
      <vt:lpstr>720_50P</vt:lpstr>
      <vt:lpstr>720_60P</vt:lpstr>
      <vt:lpstr>720_59D97P</vt:lpstr>
      <vt:lpstr>1080_24P</vt:lpstr>
      <vt:lpstr>1080_25P</vt:lpstr>
      <vt:lpstr>1080_30P</vt:lpstr>
      <vt:lpstr>1080_29D94P</vt:lpstr>
      <vt:lpstr>1080_50P</vt:lpstr>
      <vt:lpstr>1080_60P</vt:lpstr>
      <vt:lpstr>1080_59D97P</vt:lpstr>
      <vt:lpstr>2560x1440_30P</vt:lpstr>
      <vt:lpstr>3840x2160_30P</vt:lpstr>
      <vt:lpstr>1024x768_60P</vt:lpstr>
      <vt:lpstr>1280x800_60P</vt:lpstr>
      <vt:lpstr>1280x1024_60P</vt:lpstr>
      <vt:lpstr>1366x768_60P</vt:lpstr>
      <vt:lpstr>1440x900_60P</vt:lpstr>
      <vt:lpstr>1680x1050_60P</vt:lpstr>
      <vt:lpstr>1600x1200_60P</vt:lpstr>
      <vt:lpstr>1920x1200_60P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paul-pc wang (王柏鈞)</cp:lastModifiedBy>
  <dcterms:created xsi:type="dcterms:W3CDTF">2014-05-30T01:21:02Z</dcterms:created>
  <dcterms:modified xsi:type="dcterms:W3CDTF">2021-05-04T09:08:33Z</dcterms:modified>
</cp:coreProperties>
</file>